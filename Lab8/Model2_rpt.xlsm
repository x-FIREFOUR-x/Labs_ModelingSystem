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Project\7Semestr\ModelingSystem\Lab8\"/>
    </mc:Choice>
  </mc:AlternateContent>
  <bookViews>
    <workbookView xWindow="0" yWindow="60" windowWidth="23040" windowHeight="11076" tabRatio="790" firstSheet="1" activeTab="1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ContinuousTimeStatsByRep!$A$1:$L$10</definedName>
    <definedName name="ExternalData_1" localSheetId="4" hidden="1">CounterStatsByRep!$A$1:$G$2</definedName>
    <definedName name="ExternalData_1" localSheetId="2" hidden="1">DiscreteTimeStatsByRep!$A$1:$K$12</definedName>
    <definedName name="ExternalData_1" localSheetId="6" hidden="1">FrequencyStatsByRep!$A$1:$K$2</definedName>
    <definedName name="ExternalData_1" localSheetId="5" hidden="1">OutputStatsByRep!$A$1:$H$6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62913"/>
  <pivotCaches>
    <pivotCache cacheId="50" r:id="rId8"/>
    <pivotCache cacheId="56" r:id="rId9"/>
    <pivotCache cacheId="62" r:id="rId10"/>
    <pivotCache cacheId="68" r:id="rId11"/>
    <pivotCache cacheId="7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K3" i="20" s="1" a="1"/>
  <c r="K3" i="20" s="1"/>
  <c r="I5" i="20"/>
  <c r="I6" i="20"/>
  <c r="J2" i="20" a="1"/>
  <c r="J2" i="20" s="1"/>
  <c r="J3" i="20" a="1"/>
  <c r="J3" i="20" s="1"/>
  <c r="J4" i="20" a="1"/>
  <c r="J4" i="20" s="1"/>
  <c r="J5" i="20" a="1"/>
  <c r="J5" i="20" s="1"/>
  <c r="J6" i="20" a="1"/>
  <c r="J6" i="20" s="1"/>
  <c r="M2" i="20" a="1"/>
  <c r="M2" i="20" s="1"/>
  <c r="M3" i="20" a="1"/>
  <c r="M3" i="20" s="1"/>
  <c r="M4" i="20" a="1"/>
  <c r="M4" i="20" s="1"/>
  <c r="M5" i="20" a="1"/>
  <c r="M5" i="20"/>
  <c r="M6" i="20" a="1"/>
  <c r="M6" i="20" s="1"/>
  <c r="M2" i="18"/>
  <c r="M3" i="18"/>
  <c r="M4" i="18"/>
  <c r="M5" i="18"/>
  <c r="M6" i="18"/>
  <c r="M7" i="18"/>
  <c r="T3" i="18" s="1" a="1"/>
  <c r="T3" i="18" s="1"/>
  <c r="M8" i="18"/>
  <c r="P5" i="18" s="1" a="1"/>
  <c r="P5" i="18" s="1"/>
  <c r="M9" i="18"/>
  <c r="O5" i="18" s="1" a="1"/>
  <c r="O5" i="18" s="1"/>
  <c r="M10" i="18"/>
  <c r="N2" i="18" a="1"/>
  <c r="N2" i="18" s="1"/>
  <c r="N3" i="18" a="1"/>
  <c r="N3" i="18" s="1"/>
  <c r="N4" i="18" a="1"/>
  <c r="N4" i="18" s="1"/>
  <c r="U4" i="18" s="1"/>
  <c r="N5" i="18" a="1"/>
  <c r="N5" i="18" s="1"/>
  <c r="N6" i="18" a="1"/>
  <c r="N6" i="18" s="1"/>
  <c r="N7" i="18" a="1"/>
  <c r="N7" i="18" s="1"/>
  <c r="N8" i="18" a="1"/>
  <c r="N8" i="18" s="1"/>
  <c r="N9" i="18" a="1"/>
  <c r="N9" i="18" s="1"/>
  <c r="N10" i="18" a="1"/>
  <c r="N10" i="18" s="1"/>
  <c r="O8" i="18" a="1"/>
  <c r="O8" i="18" s="1"/>
  <c r="P7" i="18" a="1"/>
  <c r="P7" i="18" s="1"/>
  <c r="Q2" i="18" a="1"/>
  <c r="Q2" i="18" s="1"/>
  <c r="Q3" i="18" a="1"/>
  <c r="Q3" i="18" s="1"/>
  <c r="Q4" i="18" a="1"/>
  <c r="Q4" i="18" s="1"/>
  <c r="Q5" i="18" a="1"/>
  <c r="Q5" i="18" s="1"/>
  <c r="Q6" i="18" a="1"/>
  <c r="Q6" i="18" s="1"/>
  <c r="Q7" i="18" a="1"/>
  <c r="Q7" i="18" s="1"/>
  <c r="Q8" i="18" a="1"/>
  <c r="Q8" i="18" s="1"/>
  <c r="Q9" i="18" a="1"/>
  <c r="Q9" i="18" s="1"/>
  <c r="Q10" i="18" a="1"/>
  <c r="Q10" i="18" s="1"/>
  <c r="L2" i="17"/>
  <c r="L3" i="17"/>
  <c r="U3" i="17" s="1" a="1"/>
  <c r="U3" i="17" s="1"/>
  <c r="L4" i="17"/>
  <c r="L5" i="17"/>
  <c r="L6" i="17"/>
  <c r="L7" i="17"/>
  <c r="L8" i="17"/>
  <c r="X8" i="17" s="1" a="1"/>
  <c r="X8" i="17" s="1"/>
  <c r="Y8" i="17" s="1"/>
  <c r="L9" i="17"/>
  <c r="L10" i="17"/>
  <c r="L11" i="17"/>
  <c r="R11" i="17" s="1" a="1"/>
  <c r="R11" i="17" s="1"/>
  <c r="L12" i="17"/>
  <c r="M2" i="17" a="1"/>
  <c r="M2" i="17"/>
  <c r="W2" i="17" s="1"/>
  <c r="M3" i="17" a="1"/>
  <c r="M3" i="17" s="1"/>
  <c r="M4" i="17" a="1"/>
  <c r="M4" i="17" s="1"/>
  <c r="W4" i="17" s="1"/>
  <c r="M5" i="17" a="1"/>
  <c r="M5" i="17" s="1"/>
  <c r="M6" i="17" a="1"/>
  <c r="M6" i="17" s="1"/>
  <c r="M7" i="17" a="1"/>
  <c r="M7" i="17" s="1"/>
  <c r="M8" i="17" a="1"/>
  <c r="M8" i="17" s="1"/>
  <c r="W8" i="17" s="1"/>
  <c r="M9" i="17" a="1"/>
  <c r="M9" i="17" s="1"/>
  <c r="M10" i="17" a="1"/>
  <c r="M10" i="17"/>
  <c r="W10" i="17" s="1"/>
  <c r="M11" i="17" a="1"/>
  <c r="M11" i="17" s="1"/>
  <c r="M12" i="17" a="1"/>
  <c r="M12" i="17"/>
  <c r="P2" i="17" a="1"/>
  <c r="P2" i="17" s="1"/>
  <c r="P3" i="17" a="1"/>
  <c r="P3" i="17" s="1"/>
  <c r="P4" i="17" a="1"/>
  <c r="P4" i="17" s="1"/>
  <c r="P5" i="17" a="1"/>
  <c r="P5" i="17" s="1"/>
  <c r="P6" i="17" a="1"/>
  <c r="P6" i="17" s="1"/>
  <c r="P7" i="17" a="1"/>
  <c r="P7" i="17" s="1"/>
  <c r="P8" i="17" a="1"/>
  <c r="P8" i="17" s="1"/>
  <c r="P9" i="17" a="1"/>
  <c r="P9" i="17" s="1"/>
  <c r="P10" i="17" a="1"/>
  <c r="P10" i="17" s="1"/>
  <c r="P11" i="17" a="1"/>
  <c r="P11" i="17" s="1"/>
  <c r="P12" i="17" a="1"/>
  <c r="P12" i="17" s="1"/>
  <c r="T7" i="17" a="1"/>
  <c r="T7" i="17" s="1"/>
  <c r="T10" i="17" a="1"/>
  <c r="T10" i="17" s="1"/>
  <c r="V6" i="17" a="1"/>
  <c r="V6" i="17" s="1"/>
  <c r="W12" i="17"/>
  <c r="X7" i="17" a="1"/>
  <c r="X7" i="17" s="1"/>
  <c r="X11" i="17" a="1"/>
  <c r="X11" i="17" s="1"/>
  <c r="X12" i="17" a="1"/>
  <c r="X12" i="17" s="1"/>
  <c r="Y12" i="17" s="1"/>
  <c r="G2" i="16"/>
  <c r="K5" i="20" l="1" a="1"/>
  <c r="K5" i="20" s="1"/>
  <c r="K4" i="20" a="1"/>
  <c r="K4" i="20" s="1"/>
  <c r="P5" i="20" a="1"/>
  <c r="P5" i="20" s="1"/>
  <c r="L5" i="20" a="1"/>
  <c r="L5" i="20" s="1"/>
  <c r="N5" i="20" s="1"/>
  <c r="K6" i="20" a="1"/>
  <c r="K6" i="20" s="1"/>
  <c r="K2" i="20" a="1"/>
  <c r="K2" i="20" s="1"/>
  <c r="O2" i="20" a="1"/>
  <c r="O2" i="20" s="1"/>
  <c r="P4" i="20" a="1"/>
  <c r="P4" i="20" s="1"/>
  <c r="O5" i="20" a="1"/>
  <c r="O5" i="20" s="1"/>
  <c r="P3" i="20" a="1"/>
  <c r="P3" i="20" s="1"/>
  <c r="O4" i="20" a="1"/>
  <c r="O4" i="20" s="1"/>
  <c r="L4" i="20" a="1"/>
  <c r="L4" i="20" s="1"/>
  <c r="N4" i="20" s="1"/>
  <c r="P6" i="20" a="1"/>
  <c r="P6" i="20" s="1"/>
  <c r="P2" i="20" a="1"/>
  <c r="P2" i="20" s="1"/>
  <c r="O3" i="20" a="1"/>
  <c r="O3" i="20" s="1"/>
  <c r="L3" i="20" a="1"/>
  <c r="L3" i="20" s="1"/>
  <c r="N3" i="20" s="1"/>
  <c r="O6" i="20" a="1"/>
  <c r="O6" i="20" s="1"/>
  <c r="L6" i="20" a="1"/>
  <c r="L6" i="20" s="1"/>
  <c r="N6" i="20" s="1"/>
  <c r="L2" i="20" a="1"/>
  <c r="L2" i="20" s="1"/>
  <c r="N2" i="20" s="1"/>
  <c r="S7" i="18" a="1"/>
  <c r="S7" i="18" s="1"/>
  <c r="O6" i="18" a="1"/>
  <c r="O6" i="18" s="1"/>
  <c r="S6" i="18" a="1"/>
  <c r="S6" i="18" s="1"/>
  <c r="P4" i="18" a="1"/>
  <c r="P4" i="18" s="1"/>
  <c r="O4" i="18" a="1"/>
  <c r="O4" i="18" s="1"/>
  <c r="T10" i="18" a="1"/>
  <c r="T10" i="18" s="1"/>
  <c r="P6" i="18" a="1"/>
  <c r="P6" i="18" s="1"/>
  <c r="R6" i="18" s="1"/>
  <c r="S10" i="18" a="1"/>
  <c r="S10" i="18" s="1"/>
  <c r="P3" i="18" a="1"/>
  <c r="P3" i="18" s="1"/>
  <c r="O2" i="18" a="1"/>
  <c r="O2" i="18" s="1"/>
  <c r="O7" i="18" a="1"/>
  <c r="O7" i="18" s="1"/>
  <c r="R4" i="18"/>
  <c r="T9" i="18" a="1"/>
  <c r="T9" i="18" s="1"/>
  <c r="T8" i="18" a="1"/>
  <c r="T8" i="18" s="1"/>
  <c r="P10" i="18" a="1"/>
  <c r="P10" i="18" s="1"/>
  <c r="R10" i="18" s="1"/>
  <c r="P2" i="18" a="1"/>
  <c r="P2" i="18" s="1"/>
  <c r="R2" i="18" s="1"/>
  <c r="T2" i="18" a="1"/>
  <c r="T2" i="18" s="1"/>
  <c r="T4" i="18" a="1"/>
  <c r="T4" i="18" s="1"/>
  <c r="S9" i="18" a="1"/>
  <c r="S9" i="18" s="1"/>
  <c r="P9" i="18" a="1"/>
  <c r="P9" i="18" s="1"/>
  <c r="O10" i="18" a="1"/>
  <c r="O10" i="18" s="1"/>
  <c r="T6" i="18" a="1"/>
  <c r="T6" i="18" s="1"/>
  <c r="S5" i="18" a="1"/>
  <c r="S5" i="18" s="1"/>
  <c r="T5" i="18" a="1"/>
  <c r="T5" i="18" s="1"/>
  <c r="T7" i="18" a="1"/>
  <c r="T7" i="18" s="1"/>
  <c r="S8" i="18" a="1"/>
  <c r="S8" i="18" s="1"/>
  <c r="P8" i="18" a="1"/>
  <c r="P8" i="18" s="1"/>
  <c r="O9" i="18" a="1"/>
  <c r="O9" i="18" s="1"/>
  <c r="U10" i="18"/>
  <c r="R3" i="18"/>
  <c r="U3" i="18"/>
  <c r="R9" i="18"/>
  <c r="U9" i="18"/>
  <c r="U2" i="18"/>
  <c r="U8" i="18"/>
  <c r="R8" i="18"/>
  <c r="U7" i="18"/>
  <c r="R7" i="18"/>
  <c r="U6" i="18"/>
  <c r="U5" i="18"/>
  <c r="R5" i="18"/>
  <c r="S4" i="18" a="1"/>
  <c r="S4" i="18" s="1"/>
  <c r="O3" i="18" a="1"/>
  <c r="O3" i="18" s="1"/>
  <c r="S3" i="18" a="1"/>
  <c r="S3" i="18" s="1"/>
  <c r="S2" i="18" a="1"/>
  <c r="S2" i="18" s="1"/>
  <c r="U6" i="17" a="1"/>
  <c r="U6" i="17" s="1"/>
  <c r="T9" i="17" a="1"/>
  <c r="T9" i="17" s="1"/>
  <c r="V3" i="17" a="1"/>
  <c r="V3" i="17" s="1"/>
  <c r="T2" i="17" a="1"/>
  <c r="T2" i="17" s="1"/>
  <c r="O9" i="17" a="1"/>
  <c r="O9" i="17" s="1"/>
  <c r="U12" i="17" a="1"/>
  <c r="U12" i="17" s="1"/>
  <c r="R4" i="17" a="1"/>
  <c r="R4" i="17" s="1"/>
  <c r="X6" i="17" a="1"/>
  <c r="X6" i="17" s="1"/>
  <c r="Y6" i="17" s="1"/>
  <c r="U11" i="17" a="1"/>
  <c r="U11" i="17" s="1"/>
  <c r="U7" i="17" a="1"/>
  <c r="U7" i="17" s="1"/>
  <c r="N6" i="17" a="1"/>
  <c r="N6" i="17" s="1"/>
  <c r="X3" i="17" a="1"/>
  <c r="X3" i="17" s="1"/>
  <c r="V8" i="17" a="1"/>
  <c r="V8" i="17" s="1"/>
  <c r="U4" i="17" a="1"/>
  <c r="U4" i="17" s="1"/>
  <c r="T5" i="17" a="1"/>
  <c r="T5" i="17" s="1"/>
  <c r="V12" i="17" a="1"/>
  <c r="V12" i="17" s="1"/>
  <c r="V11" i="17" a="1"/>
  <c r="V11" i="17" s="1"/>
  <c r="X2" i="17" a="1"/>
  <c r="X2" i="17" s="1"/>
  <c r="Y2" i="17" s="1"/>
  <c r="V7" i="17" a="1"/>
  <c r="V7" i="17" s="1"/>
  <c r="O7" i="17" a="1"/>
  <c r="O7" i="17" s="1"/>
  <c r="O12" i="17" a="1"/>
  <c r="O12" i="17" s="1"/>
  <c r="Q12" i="17" s="1"/>
  <c r="T3" i="17" a="1"/>
  <c r="T3" i="17" s="1"/>
  <c r="W6" i="17"/>
  <c r="T6" i="17" a="1"/>
  <c r="T6" i="17" s="1"/>
  <c r="X10" i="17" a="1"/>
  <c r="X10" i="17" s="1"/>
  <c r="Y10" i="17" s="1"/>
  <c r="V5" i="17" a="1"/>
  <c r="V5" i="17" s="1"/>
  <c r="O3" i="17" a="1"/>
  <c r="O3" i="17" s="1"/>
  <c r="X9" i="17" a="1"/>
  <c r="X9" i="17" s="1"/>
  <c r="Y9" i="17" s="1"/>
  <c r="Q9" i="17" s="1"/>
  <c r="V10" i="17" a="1"/>
  <c r="V10" i="17" s="1"/>
  <c r="V4" i="17" a="1"/>
  <c r="V4" i="17" s="1"/>
  <c r="U10" i="17" a="1"/>
  <c r="U10" i="17" s="1"/>
  <c r="U2" i="17" a="1"/>
  <c r="U2" i="17" s="1"/>
  <c r="N10" i="17" a="1"/>
  <c r="N10" i="17" s="1"/>
  <c r="O6" i="17" a="1"/>
  <c r="O6" i="17" s="1"/>
  <c r="X5" i="17" a="1"/>
  <c r="X5" i="17" s="1"/>
  <c r="S5" i="17" a="1"/>
  <c r="S5" i="17" s="1"/>
  <c r="X4" i="17" a="1"/>
  <c r="X4" i="17" s="1"/>
  <c r="Y4" i="17" s="1"/>
  <c r="V9" i="17" a="1"/>
  <c r="V9" i="17" s="1"/>
  <c r="U8" i="17" a="1"/>
  <c r="U8" i="17" s="1"/>
  <c r="T11" i="17" a="1"/>
  <c r="T11" i="17" s="1"/>
  <c r="R12" i="17" a="1"/>
  <c r="R12" i="17" s="1"/>
  <c r="O11" i="17" a="1"/>
  <c r="O11" i="17" s="1"/>
  <c r="N2" i="17" a="1"/>
  <c r="N2" i="17" s="1"/>
  <c r="R6" i="17" a="1"/>
  <c r="R6" i="17" s="1"/>
  <c r="S10" i="17" a="1"/>
  <c r="S10" i="17" s="1"/>
  <c r="R8" i="17" a="1"/>
  <c r="R8" i="17" s="1"/>
  <c r="O10" i="17" a="1"/>
  <c r="O10" i="17" s="1"/>
  <c r="V2" i="17" a="1"/>
  <c r="V2" i="17" s="1"/>
  <c r="S9" i="17" a="1"/>
  <c r="S9" i="17" s="1"/>
  <c r="N12" i="17" a="1"/>
  <c r="N12" i="17" s="1"/>
  <c r="S4" i="17" a="1"/>
  <c r="S4" i="17" s="1"/>
  <c r="R3" i="17" a="1"/>
  <c r="R3" i="17" s="1"/>
  <c r="S6" i="17" a="1"/>
  <c r="S6" i="17" s="1"/>
  <c r="R10" i="17" a="1"/>
  <c r="R10" i="17" s="1"/>
  <c r="N7" i="17" a="1"/>
  <c r="N7" i="17" s="1"/>
  <c r="W5" i="17"/>
  <c r="Y5" i="17"/>
  <c r="W9" i="17"/>
  <c r="W11" i="17"/>
  <c r="Y11" i="17"/>
  <c r="Q11" i="17" s="1"/>
  <c r="W3" i="17"/>
  <c r="Y3" i="17"/>
  <c r="Q3" i="17" s="1"/>
  <c r="W7" i="17"/>
  <c r="Y7" i="17"/>
  <c r="Q7" i="17" s="1"/>
  <c r="O2" i="17" a="1"/>
  <c r="O2" i="17" s="1"/>
  <c r="Q2" i="17" s="1"/>
  <c r="N9" i="17" a="1"/>
  <c r="N9" i="17" s="1"/>
  <c r="N5" i="17" a="1"/>
  <c r="N5" i="17" s="1"/>
  <c r="U9" i="17" a="1"/>
  <c r="U9" i="17" s="1"/>
  <c r="U5" i="17" a="1"/>
  <c r="U5" i="17" s="1"/>
  <c r="T12" i="17" a="1"/>
  <c r="T12" i="17" s="1"/>
  <c r="T8" i="17" a="1"/>
  <c r="T8" i="17" s="1"/>
  <c r="T4" i="17" a="1"/>
  <c r="T4" i="17" s="1"/>
  <c r="S11" i="17" a="1"/>
  <c r="S11" i="17" s="1"/>
  <c r="S7" i="17" a="1"/>
  <c r="S7" i="17" s="1"/>
  <c r="S3" i="17" a="1"/>
  <c r="S3" i="17" s="1"/>
  <c r="R2" i="17" a="1"/>
  <c r="R2" i="17" s="1"/>
  <c r="O5" i="17" a="1"/>
  <c r="O5" i="17" s="1"/>
  <c r="N8" i="17" a="1"/>
  <c r="N8" i="17" s="1"/>
  <c r="N4" i="17" a="1"/>
  <c r="N4" i="17" s="1"/>
  <c r="S2" i="17" a="1"/>
  <c r="S2" i="17" s="1"/>
  <c r="R9" i="17" a="1"/>
  <c r="R9" i="17" s="1"/>
  <c r="R5" i="17" a="1"/>
  <c r="R5" i="17" s="1"/>
  <c r="O8" i="17" a="1"/>
  <c r="O8" i="17" s="1"/>
  <c r="Q8" i="17" s="1"/>
  <c r="O4" i="17" a="1"/>
  <c r="O4" i="17" s="1"/>
  <c r="Q4" i="17" s="1"/>
  <c r="N11" i="17" a="1"/>
  <c r="N11" i="17" s="1"/>
  <c r="N3" i="17" a="1"/>
  <c r="N3" i="17" s="1"/>
  <c r="S12" i="17" a="1"/>
  <c r="S12" i="17" s="1"/>
  <c r="S8" i="17" a="1"/>
  <c r="S8" i="17" s="1"/>
  <c r="R7" i="17" a="1"/>
  <c r="R7" i="17" s="1"/>
  <c r="Q10" i="17" l="1"/>
  <c r="Q6" i="17"/>
  <c r="Q5" i="17"/>
</calcChain>
</file>

<file path=xl/connections.xml><?xml version="1.0" encoding="utf-8"?>
<connections xmlns="http://schemas.openxmlformats.org/spreadsheetml/2006/main">
  <connection id="1" name="Connection" type="1" refreshedVersion="6" saveData="1">
    <dbPr connection="Driver={SQLite3 ODBC Driver};Database=d:\project\7semestr\modelingsystem\lab8\model2.db;StepAPI=;SyncPragma=;NoTXN=;Timeout=;ShortNames=;LongNames=;NoCreat=;NoWCHAR=;FKSupport=;JournalMode=;OEMCP=;LoadExt=;BigInt=;JDConv=;" command="select * from FrequencyStatsQuery"/>
  </connection>
  <connection id="2" name="Connection1" type="1" refreshedVersion="6" saveData="1">
    <dbPr connection="Driver={SQLite3 ODBC Driver};Database=d:\project\7semestr\modelingsystem\lab8\model2.db;StepAPI=;SyncPragma=;NoTXN=;Timeout=;ShortNames=;LongNames=;NoCreat=;NoWCHAR=;FKSupport=;JournalMode=;OEMCP=;LoadExt=;BigInt=;JDConv=;" command="select * from ProjectQuery"/>
  </connection>
  <connection id="3" name="Connection2" type="1" refreshedVersion="6" saveData="1">
    <dbPr connection="Driver={SQLite3 ODBC Driver};Database=d:\project\7semestr\modelingsystem\lab8\model2.db;StepAPI=;SyncPragma=;NoTXN=;Timeout=;ShortNames=;LongNames=;NoCreat=;NoWCHAR=;FKSupport=;JournalMode=;OEMCP=;LoadExt=;BigInt=;JDConv=;" command="select * from DiscreteTimeStatsQuery"/>
  </connection>
  <connection id="4" name="Connection3" type="1" refreshedVersion="6" saveData="1">
    <dbPr connection="Driver={SQLite3 ODBC Driver};Database=d:\project\7semestr\modelingsystem\lab8\model2.db;StepAPI=;SyncPragma=;NoTXN=;Timeout=;ShortNames=;LongNames=;NoCreat=;NoWCHAR=;FKSupport=;JournalMode=;OEMCP=;LoadExt=;BigInt=;JDConv=;" command="select * from ContinuousTimeStatsQuery"/>
  </connection>
  <connection id="5" name="Connection4" type="1" refreshedVersion="6" saveData="1">
    <dbPr connection="Driver={SQLite3 ODBC Driver};Database=d:\project\7semestr\modelingsystem\lab8\model2.db;StepAPI=;SyncPragma=;NoTXN=;Timeout=;ShortNames=;LongNames=;NoCreat=;NoWCHAR=;FKSupport=;JournalMode=;OEMCP=;LoadExt=;BigInt=;JDConv=;" command="select * from CounterStatsQuery"/>
  </connection>
  <connection id="6" name="Connection5" type="1" refreshedVersion="6" saveData="1">
    <dbPr connection="Driver={SQLite3 ODBC Driver};Database=d:\project\7semestr\modelingsystem\lab8\model2.db;StepAPI=;SyncPragma=;NoTXN=;Timeout=;ShortNames=;LongNames=;NoCreat=;NoWCHAR=;FKSupport=;JournalMode=;OEMCP=;LoadExt=;BigInt=;JDConv=;" command="select * from OutputStatsQuery"/>
  </connection>
</connections>
</file>

<file path=xl/sharedStrings.xml><?xml version="1.0" encoding="utf-8"?>
<sst xmlns="http://schemas.openxmlformats.org/spreadsheetml/2006/main" count="361" uniqueCount="103">
  <si>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</si>
  <si>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</si>
  <si>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</si>
  <si>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</si>
  <si>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</si>
  <si>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</si>
  <si>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</si>
  <si>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</si>
  <si>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</si>
  <si>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</si>
  <si>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</si>
  <si>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</si>
  <si>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</si>
  <si>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</si>
  <si>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</si>
  <si>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</si>
  <si>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</si>
  <si>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</si>
  <si>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</si>
  <si>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</si>
  <si>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</si>
  <si>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</si>
  <si>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</si>
  <si>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</si>
  <si>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</si>
  <si>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</si>
  <si>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</si>
  <si>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</si>
  <si>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</si>
  <si>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</si>
  <si>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</si>
  <si>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</si>
  <si>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</si>
  <si>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</si>
  <si>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</si>
  <si>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</si>
  <si>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</si>
  <si>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</si>
  <si>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</si>
  <si>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</si>
  <si>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</si>
  <si>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</si>
  <si>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</si>
  <si>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</si>
  <si>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</si>
  <si>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</si>
  <si>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</si>
  <si>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</si>
  <si>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</si>
  <si>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</si>
  <si>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</si>
  <si>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</si>
  <si>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</si>
  <si>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</si>
  <si>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</si>
  <si>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</si>
  <si>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</si>
  <si>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</si>
  <si>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</si>
  <si>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</si>
  <si>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</si>
  <si>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</si>
  <si>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</si>
  <si>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</si>
  <si>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</si>
  <si>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IsPeriodic</t>
  </si>
  <si>
    <t>Unnamed Project</t>
  </si>
  <si>
    <t>IncludeOption</t>
  </si>
  <si>
    <t>D:\Project\7Semestr\ModelingSystem\Lab8\Model2.p</t>
  </si>
  <si>
    <t>2023-12-16 19:58:37</t>
  </si>
  <si>
    <t>Entity 1</t>
  </si>
  <si>
    <t>NVA Time</t>
  </si>
  <si>
    <t>Entity</t>
  </si>
  <si>
    <t>Other Time</t>
  </si>
  <si>
    <t>Total Time</t>
  </si>
  <si>
    <t>Transfer Time</t>
  </si>
  <si>
    <t>VA Time</t>
  </si>
  <si>
    <t>Wait Time</t>
  </si>
  <si>
    <t>SubProcess1.Queue</t>
  </si>
  <si>
    <t>Waiting Time</t>
  </si>
  <si>
    <t>Queue</t>
  </si>
  <si>
    <t>SubProcess2.Queue</t>
  </si>
  <si>
    <t>SubProcess3.Queue</t>
  </si>
  <si>
    <t>SubProcess4.Queue</t>
  </si>
  <si>
    <t>SubProcess5.Queue</t>
  </si>
  <si>
    <t>WIP</t>
  </si>
  <si>
    <t>Resource 1</t>
  </si>
  <si>
    <t>Instantaneous Utilization</t>
  </si>
  <si>
    <t>Resource</t>
  </si>
  <si>
    <t>Number Busy</t>
  </si>
  <si>
    <t>Number Scheduled</t>
  </si>
  <si>
    <t>Number Waiting</t>
  </si>
  <si>
    <t>Entity 1.NumberIn</t>
  </si>
  <si>
    <t>Number In</t>
  </si>
  <si>
    <t>Entity 1.NumberOut</t>
  </si>
  <si>
    <t>Number Out</t>
  </si>
  <si>
    <t>Resource 1.NumberSeized</t>
  </si>
  <si>
    <t>Total Number Seized</t>
  </si>
  <si>
    <t>Resource 1.ScheduledUtilization</t>
  </si>
  <si>
    <t>Scheduled Utilization</t>
  </si>
  <si>
    <t>System.NumberOut</t>
  </si>
  <si>
    <t>System</t>
  </si>
  <si>
    <t>(пусто)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</si>
</sst>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1" fillId="0" borderId="0" xfId="0" applyFont="1" applyFill="1"/>
    <xf numFmtId="0" fontId="0" fillId="0" borderId="0" xfId="0" applyNumberFormat="1"/>
    <xf numFmtId="0" fontId="0" fillId="0" borderId="0" xfId="0" pivotButton="1"/>
    <xf numFmtId="20" fontId="0" fillId="0" borderId="0" xfId="0" applyNumberFormat="1"/>
    <xf numFmtId="10" fontId="0" fillId="0" borderId="0" xfId="0" applyNumberFormat="1"/>
  </cellXfs>
  <cellStyles count="1">
    <cellStyle name="Звичайний" xfId="0" builtinId="0"/>
  </cellStyles>
  <dxfs count="76">
    <dxf>
      <numFmt numFmtId="0" formatCode="General"/>
    </dxf>
    <dxf>
      <numFmt numFmtId="164" formatCode="[=400000000000000000000]&quot;Null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numFmt numFmtId="166" formatCode="[=300000000000000000000]&quot;Correlated&quot;;;"/>
    </dxf>
    <dxf>
      <numFmt numFmtId="167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65" formatCode="[=400000000000000000000]&quot;NoCalc&quot;;;"/>
    </dxf>
    <dxf>
      <numFmt numFmtId="167" formatCode="[=200000000000000000000]&quot;Insufficient&quot;;;"/>
    </dxf>
    <dxf>
      <numFmt numFmtId="166" formatCode="[=300000000000000000000]&quot;Correlated&quot;;;"/>
    </dxf>
    <dxf>
      <numFmt numFmtId="168" formatCode="[=1]&quot;Yes&quot;;;"/>
    </dxf>
    <dxf>
      <numFmt numFmtId="168" formatCode="[=1]&quot;Yes&quot;;;"/>
    </dxf>
    <dxf>
      <numFmt numFmtId="169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70" formatCode="[&gt;100]&quot;Null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8" formatCode="[=1]&quot;Yes&quot;;;"/>
      <border>
        <left/>
        <right/>
        <top/>
        <bottom/>
      </border>
    </dxf>
    <dxf>
      <numFmt numFmtId="169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7" formatCode="[=200000000000000000000]&quot;Insufficient&quot;;;"/>
    </dxf>
    <dxf>
      <numFmt numFmtId="167" formatCode="[=200000000000000000000]&quot;Insufficient&quot;;;"/>
    </dxf>
    <dxf>
      <numFmt numFmtId="171" formatCode="[=0]&quot;Days&quot;;;"/>
    </dxf>
    <dxf>
      <numFmt numFmtId="172" formatCode="[=1]&quot;Hours&quot;;;"/>
    </dxf>
    <dxf>
      <numFmt numFmtId="173" formatCode="[=2]&quot;Minutes&quot;;;"/>
    </dxf>
    <dxf>
      <numFmt numFmtId="174" formatCode="[=3]&quot;Second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адмін" refreshedDate="45276.833512731479" createdVersion="7" refreshedVersion="6" minRefreshableVersion="3" recordCount="11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04">
        <s v="Entity 1"/>
        <s v="SubProcess1.Queue"/>
        <s v="SubProcess2.Queue"/>
        <s v="SubProcess3.Queue"/>
        <s v="SubProcess4.Queue"/>
        <s v="SubProcess5.Queue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Process Part Type 2 on Prep2" u="1"/>
      </sharedItems>
    </cacheField>
    <cacheField name="Type" numFmtId="0">
      <sharedItems containsBlank="1" count="12">
        <s v="NVA Time"/>
        <s v="Other Time"/>
        <s v="Total Time"/>
        <s v="Transfer Time"/>
        <s v="VA Time"/>
        <s v="Wait Time"/>
        <s v="Waiting Time"/>
        <m u="1"/>
        <s v="Total Time Per Entity" u="1"/>
        <s v="VA Time Per Entity" u="1"/>
        <s v="Wait Time Per Entity" u="1"/>
        <s v="Interval" u="1"/>
      </sharedItems>
    </cacheField>
    <cacheField name="Source" numFmtId="0">
      <sharedItems containsBlank="1" count="5">
        <s v="Entity"/>
        <s v="Queue"/>
        <m u="1"/>
        <s v="Process" u="1"/>
        <s v="User Specified" u="1"/>
      </sharedItems>
    </cacheField>
    <cacheField name="Average" numFmtId="0">
      <sharedItems containsSemiMixedTypes="0" containsString="0" containsNumber="1" minValue="0" maxValue="40.9096743279826"/>
    </cacheField>
    <cacheField name="BatchMeansHalfWidth" numFmtId="0">
      <sharedItems containsSemiMixedTypes="0" containsString="0" containsNumber="1" containsInteger="1" minValue="0" maxValue="3E+20"/>
    </cacheField>
    <cacheField name="Minimum" numFmtId="0">
      <sharedItems containsSemiMixedTypes="0" containsString="0" containsNumber="1" minValue="0" maxValue="1.8089357453842301E-2"/>
    </cacheField>
    <cacheField name="Maximum" numFmtId="0">
      <sharedItems containsSemiMixedTypes="0" containsString="0" containsNumber="1" minValue="0" maxValue="501.115279158357"/>
    </cacheField>
    <cacheField name="NumberObservations" numFmtId="0">
      <sharedItems containsSemiMixedTypes="0" containsString="0" containsNumber="1" containsInteger="1" minValue="165" maxValue="96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" maxValue="40.9096743279826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" maxValue="40.9096743279826"/>
    </cacheField>
    <cacheField name="MaximumAverage" numFmtId="0">
      <sharedItems containsSemiMixedTypes="0" containsString="0" containsNumber="1" minValue="0" maxValue="40.9096743279826"/>
    </cacheField>
    <cacheField name="OverallMinimum" numFmtId="0">
      <sharedItems containsSemiMixedTypes="0" containsString="0" containsNumber="1" minValue="0" maxValue="1.8089357453842301E-2"/>
    </cacheField>
    <cacheField name="OverallMaximum" numFmtId="0">
      <sharedItems containsSemiMixedTypes="0" containsString="0" containsNumber="1" minValue="0" maxValue="501.115279158357"/>
    </cacheField>
    <cacheField name="AverageNumberObservations" numFmtId="0">
      <sharedItems containsSemiMixedTypes="0" containsString="0" containsNumber="1" containsInteger="1" minValue="165" maxValue="960"/>
    </cacheField>
    <cacheField name="SummaryHalfWidth" numFmtId="0">
      <sharedItems containsSemiMixedTypes="0" containsString="0" containsNumber="1" containsInteger="1" minValue="0" maxValue="3E+20"/>
    </cacheField>
    <cacheField name="RepsWithStatObserved" numFmtId="0">
      <sharedItems containsSemiMixedTypes="0" containsString="0" containsNumber="1" containsInteger="1" minValue="1" maxValue="1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адмін" refreshedDate="45276.833512847224" createdVersion="7" refreshedVersion="6" minRefreshableVersion="3" recordCount="5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79">
        <s v="Entity 1.NumberIn"/>
        <s v="Entity 1.NumberOut"/>
        <s v="Resource 1.NumberSeized"/>
        <s v="Resource 1.ScheduledUtilization"/>
        <s v="System.NumberOu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Number In"/>
        <s v="Number Out"/>
        <s v="Total Number Seized"/>
        <s v="Scheduled Utilization"/>
        <m u="1"/>
        <s v="Accum VA Time" u="1"/>
        <s v="Accum Wait Time" u="1"/>
      </sharedItems>
    </cacheField>
    <cacheField name="Source" numFmtId="0">
      <sharedItems containsBlank="1" count="5">
        <s v="Entity"/>
        <s v="Resource"/>
        <s v="System"/>
        <m u="1"/>
        <s v="Process" u="1"/>
      </sharedItems>
    </cacheField>
    <cacheField name="RecordedValue" numFmtId="0">
      <sharedItems containsSemiMixedTypes="0" containsString="0" containsNumber="1" minValue="0.93380109413770496" maxValue="1015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" numFmtId="0">
      <sharedItems containsSemiMixedTypes="0" containsString="0" containsNumber="1" minValue="0.93380109413770496" maxValue="1015"/>
    </cacheField>
    <cacheField name="StandardDeviation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" numFmtId="0">
      <sharedItems containsSemiMixedTypes="0" containsString="0" containsNumber="1" minValue="0.93380109413770496" maxValue="1015"/>
    </cacheField>
    <cacheField name="Maximum" numFmtId="0">
      <sharedItems containsSemiMixedTypes="0" containsString="0" containsNumber="1" minValue="0.93380109413770496" maxValue="101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адмін" refreshedDate="45276.833513194448" createdVersion="7" refreshedVersion="6" minRefreshableVersion="3" recordCount="1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адмін" refreshedDate="45276.83351365741" createdVersion="7" refreshedVersion="6" minRefreshableVersion="3" recordCount="9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29">
        <s v="Entity 1"/>
        <s v="Resource 1"/>
        <s v="SubProcess1.Queue"/>
        <s v="SubProcess2.Queue"/>
        <s v="SubProcess3.Queue"/>
        <s v="SubProcess4.Queue"/>
        <s v="SubProcess5.Queue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</sharedItems>
    </cacheField>
    <cacheField name="Type" numFmtId="0">
      <sharedItems containsBlank="1" count="7">
        <s v="WIP"/>
        <s v="Instantaneous Utilization"/>
        <s v="Number Busy"/>
        <s v="Number Scheduled"/>
        <s v="Number Waiting"/>
        <m u="1"/>
        <s v="Levels" u="1"/>
      </sharedItems>
    </cacheField>
    <cacheField name="Source" numFmtId="0">
      <sharedItems containsBlank="1" count="5">
        <s v="Entity"/>
        <s v="Resource"/>
        <s v="Queue"/>
        <m u="1"/>
        <s v="User Specified" u="1"/>
      </sharedItems>
    </cacheField>
    <cacheField name="Average" numFmtId="0">
      <sharedItems containsSemiMixedTypes="0" containsString="0" containsNumber="1" minValue="0" maxValue="42.207209128385401"/>
    </cacheField>
    <cacheField name="BatchMeansHalfWidth" numFmtId="0">
      <sharedItems containsSemiMixedTypes="0" containsString="0" containsNumber="1" containsInteger="1" minValue="2E+20" maxValue="3E+20"/>
    </cacheField>
    <cacheField name="Minimum" numFmtId="0">
      <sharedItems containsSemiMixedTypes="0" containsString="0" containsNumber="1" containsInteger="1" minValue="0" maxValue="1"/>
    </cacheField>
    <cacheField name="Maximum" numFmtId="0">
      <sharedItems containsSemiMixedTypes="0" containsString="0" containsNumber="1" containsInteger="1" minValue="0" maxValue="69"/>
    </cacheField>
    <cacheField name="LastRecordedValue" numFmtId="0">
      <sharedItems containsSemiMixedTypes="0" containsString="0" containsNumber="1" containsInteger="1" minValue="0" maxValue="55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" maxValue="42.207209128385401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" maxValue="42.207209128385401"/>
    </cacheField>
    <cacheField name="MaximumAverage" numFmtId="0">
      <sharedItems containsSemiMixedTypes="0" containsString="0" containsNumber="1" minValue="0" maxValue="42.207209128385401"/>
    </cacheField>
    <cacheField name="SummaryHalfWidth" numFmtId="0">
      <sharedItems containsSemiMixedTypes="0" containsString="0" containsNumber="1" containsInteger="1" minValue="2E+20" maxValue="3E+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адмін" refreshedDate="45276.833514004633" createdVersion="7" refreshedVersion="6" minRefreshableVersion="3" recordCount="1">
  <cacheSource type="worksheet">
    <worksheetSource name="FrequencyTable"/>
  </cacheSource>
  <cacheFields count="17">
    <cacheField name="ProjectName" numFmtId="0">
      <sharedItems containsNonDate="0" containsBlank="1" count="3">
        <m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">
        <m/>
        <s v="Prep 1 Freq s3" u="1"/>
        <s v="VarVal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9">
        <m/>
        <s v="waiting" u="1"/>
        <s v="Constant(1)" u="1"/>
        <s v="Constant(2)" u="1"/>
        <s v="idle" u="1"/>
        <s v="Constant(3)" u="1"/>
        <s v="busy" u="1"/>
        <s v="Constant(4)" u="1"/>
        <s v="Constant(5)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IncludeOption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1">
  <r>
    <x v="0"/>
    <s v="2023-12-16 19:58:37"/>
    <n v="1"/>
    <x v="0"/>
    <x v="0"/>
    <x v="0"/>
    <n v="0"/>
    <n v="0"/>
    <n v="0"/>
    <n v="0"/>
    <n v="960"/>
    <s v="Unnamed ProjectEntity 1NVA TimeEntity"/>
    <n v="1"/>
    <n v="0"/>
    <n v="0"/>
    <n v="0.95"/>
    <n v="4E+20"/>
    <n v="0"/>
    <n v="0"/>
    <n v="0"/>
    <n v="0"/>
    <n v="960"/>
    <n v="0"/>
    <n v="1"/>
    <n v="1"/>
  </r>
  <r>
    <x v="0"/>
    <s v="2023-12-16 19:58:37"/>
    <n v="1"/>
    <x v="0"/>
    <x v="1"/>
    <x v="0"/>
    <n v="0"/>
    <n v="0"/>
    <n v="0"/>
    <n v="0"/>
    <n v="960"/>
    <s v="Unnamed ProjectEntity 1Other TimeEntity"/>
    <n v="1"/>
    <n v="0"/>
    <n v="0"/>
    <n v="0.95"/>
    <n v="4E+20"/>
    <n v="0"/>
    <n v="0"/>
    <n v="0"/>
    <n v="0"/>
    <n v="960"/>
    <n v="0"/>
    <n v="1"/>
    <n v="1"/>
  </r>
  <r>
    <x v="0"/>
    <s v="2023-12-16 19:58:37"/>
    <n v="1"/>
    <x v="0"/>
    <x v="2"/>
    <x v="0"/>
    <n v="40.9096743279826"/>
    <n v="3E+20"/>
    <n v="1.8089357453842301E-2"/>
    <n v="501.115279158357"/>
    <n v="960"/>
    <s v="Unnamed ProjectEntity 1Total TimeEntity"/>
    <n v="1"/>
    <n v="40.9096743279826"/>
    <n v="0"/>
    <n v="0.95"/>
    <n v="4E+20"/>
    <n v="40.9096743279826"/>
    <n v="40.9096743279826"/>
    <n v="1.8089357453842301E-2"/>
    <n v="501.115279158357"/>
    <n v="960"/>
    <n v="3E+20"/>
    <n v="1"/>
    <n v="1"/>
  </r>
  <r>
    <x v="0"/>
    <s v="2023-12-16 19:58:37"/>
    <n v="1"/>
    <x v="0"/>
    <x v="3"/>
    <x v="0"/>
    <n v="0"/>
    <n v="0"/>
    <n v="0"/>
    <n v="0"/>
    <n v="960"/>
    <s v="Unnamed ProjectEntity 1Transfer TimeEntity"/>
    <n v="1"/>
    <n v="0"/>
    <n v="0"/>
    <n v="0.95"/>
    <n v="4E+20"/>
    <n v="0"/>
    <n v="0"/>
    <n v="0"/>
    <n v="0"/>
    <n v="960"/>
    <n v="0"/>
    <n v="1"/>
    <n v="1"/>
  </r>
  <r>
    <x v="0"/>
    <s v="2023-12-16 19:58:37"/>
    <n v="1"/>
    <x v="0"/>
    <x v="4"/>
    <x v="0"/>
    <n v="40.9096743279826"/>
    <n v="3E+20"/>
    <n v="1.8089357453842301E-2"/>
    <n v="501.115279158357"/>
    <n v="960"/>
    <s v="Unnamed ProjectEntity 1VA TimeEntity"/>
    <n v="1"/>
    <n v="40.9096743279826"/>
    <n v="0"/>
    <n v="0.95"/>
    <n v="4E+20"/>
    <n v="40.9096743279826"/>
    <n v="40.9096743279826"/>
    <n v="1.8089357453842301E-2"/>
    <n v="501.115279158357"/>
    <n v="960"/>
    <n v="3E+20"/>
    <n v="1"/>
    <n v="1"/>
  </r>
  <r>
    <x v="0"/>
    <s v="2023-12-16 19:58:37"/>
    <n v="1"/>
    <x v="0"/>
    <x v="5"/>
    <x v="0"/>
    <n v="0"/>
    <n v="0"/>
    <n v="0"/>
    <n v="0"/>
    <n v="960"/>
    <s v="Unnamed ProjectEntity 1Wait TimeEntity"/>
    <n v="1"/>
    <n v="0"/>
    <n v="0"/>
    <n v="0.95"/>
    <n v="4E+20"/>
    <n v="0"/>
    <n v="0"/>
    <n v="0"/>
    <n v="0"/>
    <n v="960"/>
    <n v="0"/>
    <n v="1"/>
    <n v="1"/>
  </r>
  <r>
    <x v="0"/>
    <s v="2023-12-16 19:58:37"/>
    <n v="1"/>
    <x v="1"/>
    <x v="6"/>
    <x v="1"/>
    <n v="0"/>
    <n v="2E+20"/>
    <n v="0"/>
    <n v="0"/>
    <n v="227"/>
    <s v="Unnamed ProjectSubProcess1.QueueWaiting TimeQueue"/>
    <n v="1"/>
    <n v="0"/>
    <n v="0"/>
    <n v="0.95"/>
    <n v="4E+20"/>
    <n v="0"/>
    <n v="0"/>
    <n v="0"/>
    <n v="0"/>
    <n v="227"/>
    <n v="2E+20"/>
    <n v="1"/>
    <n v="1"/>
  </r>
  <r>
    <x v="0"/>
    <s v="2023-12-16 19:58:37"/>
    <n v="1"/>
    <x v="2"/>
    <x v="6"/>
    <x v="1"/>
    <n v="0"/>
    <n v="2E+20"/>
    <n v="0"/>
    <n v="0"/>
    <n v="196"/>
    <s v="Unnamed ProjectSubProcess2.QueueWaiting TimeQueue"/>
    <n v="1"/>
    <n v="0"/>
    <n v="0"/>
    <n v="0.95"/>
    <n v="4E+20"/>
    <n v="0"/>
    <n v="0"/>
    <n v="0"/>
    <n v="0"/>
    <n v="196"/>
    <n v="2E+20"/>
    <n v="1"/>
    <n v="1"/>
  </r>
  <r>
    <x v="0"/>
    <s v="2023-12-16 19:58:37"/>
    <n v="1"/>
    <x v="3"/>
    <x v="6"/>
    <x v="1"/>
    <n v="0"/>
    <n v="2E+20"/>
    <n v="0"/>
    <n v="0"/>
    <n v="185"/>
    <s v="Unnamed ProjectSubProcess3.QueueWaiting TimeQueue"/>
    <n v="1"/>
    <n v="0"/>
    <n v="0"/>
    <n v="0.95"/>
    <n v="4E+20"/>
    <n v="0"/>
    <n v="0"/>
    <n v="0"/>
    <n v="0"/>
    <n v="185"/>
    <n v="2E+20"/>
    <n v="1"/>
    <n v="1"/>
  </r>
  <r>
    <x v="0"/>
    <s v="2023-12-16 19:58:37"/>
    <n v="1"/>
    <x v="4"/>
    <x v="6"/>
    <x v="1"/>
    <n v="0"/>
    <n v="2E+20"/>
    <n v="0"/>
    <n v="0"/>
    <n v="188"/>
    <s v="Unnamed ProjectSubProcess4.QueueWaiting TimeQueue"/>
    <n v="1"/>
    <n v="0"/>
    <n v="0"/>
    <n v="0.95"/>
    <n v="4E+20"/>
    <n v="0"/>
    <n v="0"/>
    <n v="0"/>
    <n v="0"/>
    <n v="188"/>
    <n v="2E+20"/>
    <n v="1"/>
    <n v="1"/>
  </r>
  <r>
    <x v="0"/>
    <s v="2023-12-16 19:58:37"/>
    <n v="1"/>
    <x v="5"/>
    <x v="6"/>
    <x v="1"/>
    <n v="0"/>
    <n v="2E+20"/>
    <n v="0"/>
    <n v="0"/>
    <n v="165"/>
    <s v="Unnamed ProjectSubProcess5.QueueWaiting TimeQueue"/>
    <n v="1"/>
    <n v="0"/>
    <n v="0"/>
    <n v="0.95"/>
    <n v="4E+20"/>
    <n v="0"/>
    <n v="0"/>
    <n v="0"/>
    <n v="0"/>
    <n v="165"/>
    <n v="2E+20"/>
    <n v="1"/>
    <n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5">
  <r>
    <x v="0"/>
    <s v="2023-12-16 19:58:37"/>
    <n v="1"/>
    <x v="0"/>
    <x v="0"/>
    <x v="0"/>
    <n v="1015"/>
    <n v="0"/>
    <s v="Unnamed ProjectEntity 1.NumberInNumber InEntity"/>
    <n v="1"/>
    <n v="1015"/>
    <n v="0"/>
    <n v="0.95"/>
    <n v="4E+20"/>
    <n v="1015"/>
    <n v="1015"/>
  </r>
  <r>
    <x v="0"/>
    <s v="2023-12-16 19:58:37"/>
    <n v="1"/>
    <x v="1"/>
    <x v="1"/>
    <x v="0"/>
    <n v="960"/>
    <n v="0"/>
    <s v="Unnamed ProjectEntity 1.NumberOutNumber OutEntity"/>
    <n v="1"/>
    <n v="960"/>
    <n v="0"/>
    <n v="0.95"/>
    <n v="4E+20"/>
    <n v="960"/>
    <n v="960"/>
  </r>
  <r>
    <x v="0"/>
    <s v="2023-12-16 19:58:37"/>
    <n v="1"/>
    <x v="2"/>
    <x v="2"/>
    <x v="1"/>
    <n v="961"/>
    <n v="0"/>
    <s v="Unnamed ProjectResource 1.NumberSeizedTotal Number SeizedResource"/>
    <n v="1"/>
    <n v="961"/>
    <n v="0"/>
    <n v="0.95"/>
    <n v="4E+20"/>
    <n v="961"/>
    <n v="961"/>
  </r>
  <r>
    <x v="0"/>
    <s v="2023-12-16 19:58:37"/>
    <n v="1"/>
    <x v="3"/>
    <x v="3"/>
    <x v="1"/>
    <n v="0.93380109413770496"/>
    <n v="0"/>
    <s v="Unnamed ProjectResource 1.ScheduledUtilizationScheduled UtilizationResource"/>
    <n v="1"/>
    <n v="0.93380109413770496"/>
    <n v="0"/>
    <n v="0.95"/>
    <n v="4E+20"/>
    <n v="0.93380109413770496"/>
    <n v="0.93380109413770496"/>
  </r>
  <r>
    <x v="0"/>
    <s v="2023-12-16 19:58:37"/>
    <n v="1"/>
    <x v="4"/>
    <x v="1"/>
    <x v="2"/>
    <n v="960"/>
    <n v="0"/>
    <s v="Unnamed ProjectSystem.NumberOutNumber OutSystem"/>
    <n v="1"/>
    <n v="960"/>
    <n v="0"/>
    <n v="0.95"/>
    <n v="4E+20"/>
    <n v="960"/>
    <n v="96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">
  <r>
    <x v="0"/>
    <m/>
    <m/>
    <x v="0"/>
    <x v="0"/>
    <x v="0"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9">
  <r>
    <x v="0"/>
    <s v="2023-12-16 19:58:37"/>
    <n v="1"/>
    <x v="0"/>
    <x v="0"/>
    <x v="0"/>
    <n v="42.207209128385401"/>
    <n v="3E+20"/>
    <n v="0"/>
    <n v="69"/>
    <n v="55"/>
    <n v="0"/>
    <s v="Unnamed ProjectEntity 1WIPEntity"/>
    <n v="1"/>
    <n v="42.207209128385401"/>
    <n v="0"/>
    <n v="0.95"/>
    <n v="4E+20"/>
    <n v="42.207209128385401"/>
    <n v="42.207209128385401"/>
    <n v="3E+20"/>
  </r>
  <r>
    <x v="0"/>
    <s v="2023-12-16 19:58:37"/>
    <n v="1"/>
    <x v="1"/>
    <x v="1"/>
    <x v="1"/>
    <n v="0.93380109413770496"/>
    <n v="3E+20"/>
    <n v="0"/>
    <n v="1"/>
    <n v="1"/>
    <n v="0"/>
    <s v="Unnamed ProjectResource 1Instantaneous UtilizationResource"/>
    <n v="1"/>
    <n v="0.93380109413770496"/>
    <n v="0"/>
    <n v="0.95"/>
    <n v="4E+20"/>
    <n v="0.93380109413770496"/>
    <n v="0.93380109413770496"/>
    <n v="3E+20"/>
  </r>
  <r>
    <x v="0"/>
    <s v="2023-12-16 19:58:37"/>
    <n v="1"/>
    <x v="1"/>
    <x v="2"/>
    <x v="1"/>
    <n v="0.93380109413770496"/>
    <n v="3E+20"/>
    <n v="0"/>
    <n v="1"/>
    <n v="1"/>
    <n v="0"/>
    <s v="Unnamed ProjectResource 1Number BusyResource"/>
    <n v="1"/>
    <n v="0.93380109413770496"/>
    <n v="0"/>
    <n v="0.95"/>
    <n v="4E+20"/>
    <n v="0.93380109413770496"/>
    <n v="0.93380109413770496"/>
    <n v="3E+20"/>
  </r>
  <r>
    <x v="0"/>
    <s v="2023-12-16 19:58:37"/>
    <n v="1"/>
    <x v="1"/>
    <x v="3"/>
    <x v="1"/>
    <n v="1"/>
    <n v="2E+20"/>
    <n v="1"/>
    <n v="1"/>
    <n v="1"/>
    <n v="0"/>
    <s v="Unnamed ProjectResource 1Number ScheduledResource"/>
    <n v="1"/>
    <n v="1"/>
    <n v="0"/>
    <n v="0.95"/>
    <n v="4E+20"/>
    <n v="1"/>
    <n v="1"/>
    <n v="2E+20"/>
  </r>
  <r>
    <x v="0"/>
    <s v="2023-12-16 19:58:37"/>
    <n v="1"/>
    <x v="2"/>
    <x v="4"/>
    <x v="2"/>
    <n v="0"/>
    <n v="2E+20"/>
    <n v="0"/>
    <n v="0"/>
    <n v="0"/>
    <n v="0"/>
    <s v="Unnamed ProjectSubProcess1.QueueNumber WaitingQueue"/>
    <n v="1"/>
    <n v="0"/>
    <n v="0"/>
    <n v="0.95"/>
    <n v="4E+20"/>
    <n v="0"/>
    <n v="0"/>
    <n v="2E+20"/>
  </r>
  <r>
    <x v="0"/>
    <s v="2023-12-16 19:58:37"/>
    <n v="1"/>
    <x v="3"/>
    <x v="4"/>
    <x v="2"/>
    <n v="0"/>
    <n v="2E+20"/>
    <n v="0"/>
    <n v="0"/>
    <n v="0"/>
    <n v="0"/>
    <s v="Unnamed ProjectSubProcess2.QueueNumber WaitingQueue"/>
    <n v="1"/>
    <n v="0"/>
    <n v="0"/>
    <n v="0.95"/>
    <n v="4E+20"/>
    <n v="0"/>
    <n v="0"/>
    <n v="2E+20"/>
  </r>
  <r>
    <x v="0"/>
    <s v="2023-12-16 19:58:37"/>
    <n v="1"/>
    <x v="4"/>
    <x v="4"/>
    <x v="2"/>
    <n v="0"/>
    <n v="2E+20"/>
    <n v="0"/>
    <n v="0"/>
    <n v="0"/>
    <n v="0"/>
    <s v="Unnamed ProjectSubProcess3.QueueNumber WaitingQueue"/>
    <n v="1"/>
    <n v="0"/>
    <n v="0"/>
    <n v="0.95"/>
    <n v="4E+20"/>
    <n v="0"/>
    <n v="0"/>
    <n v="2E+20"/>
  </r>
  <r>
    <x v="0"/>
    <s v="2023-12-16 19:58:37"/>
    <n v="1"/>
    <x v="5"/>
    <x v="4"/>
    <x v="2"/>
    <n v="0"/>
    <n v="2E+20"/>
    <n v="0"/>
    <n v="0"/>
    <n v="0"/>
    <n v="0"/>
    <s v="Unnamed ProjectSubProcess4.QueueNumber WaitingQueue"/>
    <n v="1"/>
    <n v="0"/>
    <n v="0"/>
    <n v="0.95"/>
    <n v="4E+20"/>
    <n v="0"/>
    <n v="0"/>
    <n v="2E+20"/>
  </r>
  <r>
    <x v="0"/>
    <s v="2023-12-16 19:58:37"/>
    <n v="1"/>
    <x v="6"/>
    <x v="4"/>
    <x v="2"/>
    <n v="0"/>
    <n v="2E+20"/>
    <n v="0"/>
    <n v="0"/>
    <n v="0"/>
    <n v="0"/>
    <s v="Unnamed ProjectSubProcess5.QueueNumber WaitingQueue"/>
    <n v="1"/>
    <n v="0"/>
    <n v="0"/>
    <n v="0.95"/>
    <n v="4E+20"/>
    <n v="0"/>
    <n v="0"/>
    <n v="2E+2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1">
  <r>
    <x v="0"/>
    <m/>
    <m/>
    <x v="0"/>
    <x v="0"/>
    <x v="0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name="DiscreteTimePivot" cacheId="50" applyNumberFormats="0" applyBorderFormats="0" applyFontFormats="0" applyPatternFormats="0" applyAlignmentFormats="0" applyWidthHeightFormats="1" dataCaption="Values" updatedVersion="6" minRefreshableVersion="3" showDataTips="0" useAutoFormatting="1" rowGrandTotals="0" colGrandTotals="0" itemPrintTitles="1" createdVersion="7" indent="0" compact="0" compactData="0" multipleFieldFilters="0">
  <location ref="A2:M13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4">
        <item m="1" x="16"/>
        <item m="1" x="39"/>
        <item m="1" x="11"/>
        <item m="1" x="91"/>
        <item m="1" x="74"/>
        <item m="1" x="44"/>
        <item m="1" x="100"/>
        <item m="1" x="32"/>
        <item m="1" x="36"/>
        <item x="0"/>
        <item m="1" x="69"/>
        <item m="1" x="81"/>
        <item m="1" x="86"/>
        <item m="1" x="10"/>
        <item m="1" x="38"/>
        <item m="1" x="28"/>
        <item m="1" x="103"/>
        <item m="1" x="98"/>
        <item m="1" x="26"/>
        <item m="1" x="20"/>
        <item m="1" x="92"/>
        <item m="1" x="12"/>
        <item m="1" x="45"/>
        <item m="1" x="31"/>
        <item m="1" x="56"/>
        <item m="1" x="83"/>
        <item m="1" x="47"/>
        <item m="1" x="17"/>
        <item m="1" x="41"/>
        <item m="1" x="70"/>
        <item m="1" x="60"/>
        <item m="1" x="18"/>
        <item m="1" x="77"/>
        <item m="1" x="9"/>
        <item m="1" x="97"/>
        <item m="1" x="65"/>
        <item m="1" x="85"/>
        <item m="1" x="40"/>
        <item m="1" x="99"/>
        <item m="1" x="68"/>
        <item m="1" x="22"/>
        <item m="1" x="59"/>
        <item m="1" x="73"/>
        <item m="1" x="84"/>
        <item m="1" x="90"/>
        <item m="1" x="8"/>
        <item m="1" x="21"/>
        <item m="1" x="30"/>
        <item m="1" x="23"/>
        <item m="1" x="7"/>
        <item m="1" x="82"/>
        <item m="1" x="94"/>
        <item m="1" x="34"/>
        <item m="1" x="64"/>
        <item m="1" x="25"/>
        <item m="1" x="42"/>
        <item m="1" x="29"/>
        <item m="1" x="50"/>
        <item m="1" x="37"/>
        <item m="1" x="57"/>
        <item m="1" x="43"/>
        <item m="1" x="66"/>
        <item m="1" x="51"/>
        <item m="1" x="71"/>
        <item m="1" x="58"/>
        <item m="1" x="79"/>
        <item m="1" x="72"/>
        <item m="1" x="87"/>
        <item m="1" x="95"/>
        <item m="1" x="75"/>
        <item m="1" x="54"/>
        <item m="1" x="35"/>
        <item m="1" x="48"/>
        <item m="1" x="19"/>
        <item m="1" x="24"/>
        <item m="1" x="33"/>
        <item m="1" x="61"/>
        <item m="1" x="96"/>
        <item m="1" x="89"/>
        <item m="1" x="76"/>
        <item m="1" x="49"/>
        <item m="1" x="62"/>
        <item m="1" x="53"/>
        <item m="1" x="78"/>
        <item m="1" x="63"/>
        <item m="1" x="46"/>
        <item m="1" x="52"/>
        <item m="1" x="15"/>
        <item m="1" x="55"/>
        <item m="1" x="67"/>
        <item m="1" x="80"/>
        <item m="1" x="88"/>
        <item m="1" x="93"/>
        <item m="1" x="102"/>
        <item m="1" x="13"/>
        <item m="1" x="27"/>
        <item m="1" x="101"/>
        <item m="1" x="14"/>
        <item m="1" x="6"/>
        <item x="1"/>
        <item x="2"/>
        <item x="3"/>
        <item x="4"/>
        <item x="5"/>
      </items>
    </pivotField>
    <pivotField axis="axisRow" compact="0" outline="0" showAll="0" defaultSubtotal="0">
      <items count="12">
        <item m="1" x="11"/>
        <item x="0"/>
        <item x="1"/>
        <item x="2"/>
        <item x="3"/>
        <item x="4"/>
        <item x="5"/>
        <item x="6"/>
        <item m="1" x="8"/>
        <item m="1" x="9"/>
        <item m="1" x="10"/>
        <item m="1" x="7"/>
      </items>
    </pivotField>
    <pivotField axis="axisRow" compact="0" outline="0" showAll="0" defaultSubtotal="0">
      <items count="5">
        <item x="0"/>
        <item x="1"/>
        <item m="1" x="4"/>
        <item m="1" x="3"/>
        <item m="1" x="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11">
    <i>
      <x v="3"/>
      <x v="9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99"/>
      <x v="7"/>
      <x v="1"/>
    </i>
    <i r="1">
      <x v="100"/>
      <x v="7"/>
      <x v="1"/>
    </i>
    <i r="1">
      <x v="101"/>
      <x v="7"/>
      <x v="1"/>
    </i>
    <i r="1">
      <x v="102"/>
      <x v="7"/>
      <x v="1"/>
    </i>
    <i r="1">
      <x v="103"/>
      <x v="7"/>
      <x v="1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5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4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name="OutputPivot" cacheId="56" applyNumberFormats="0" applyBorderFormats="0" applyFontFormats="0" applyPatternFormats="0" applyAlignmentFormats="0" applyWidthHeightFormats="1" dataCaption="Values" updatedVersion="6" minRefreshableVersion="3" showDataTips="0" useAutoFormatting="1" rowGrandTotals="0" colGrandTotals="0" itemPrintTitles="1" createdVersion="7" indent="0" compact="0" compactData="0" multipleFieldFilters="0">
  <location ref="AK2:AS7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9">
        <item m="1" x="29"/>
        <item m="1" x="6"/>
        <item m="1" x="30"/>
        <item m="1" x="7"/>
        <item m="1" x="31"/>
        <item m="1" x="8"/>
        <item m="1" x="32"/>
        <item m="1" x="9"/>
        <item m="1" x="63"/>
        <item m="1" x="20"/>
        <item x="4"/>
        <item m="1" x="62"/>
        <item m="1" x="49"/>
        <item m="1" x="66"/>
        <item m="1" x="51"/>
        <item x="0"/>
        <item x="1"/>
        <item m="1" x="44"/>
        <item m="1" x="13"/>
        <item m="1" x="60"/>
        <item m="1" x="50"/>
        <item m="1" x="48"/>
        <item m="1" x="16"/>
        <item m="1" x="58"/>
        <item m="1" x="24"/>
        <item m="1" x="59"/>
        <item m="1" x="25"/>
        <item m="1" x="57"/>
        <item m="1" x="75"/>
        <item m="1" x="19"/>
        <item m="1" x="78"/>
        <item m="1" x="46"/>
        <item m="1" x="14"/>
        <item m="1" x="73"/>
        <item m="1" x="69"/>
        <item m="1" x="47"/>
        <item m="1" x="15"/>
        <item m="1" x="74"/>
        <item m="1" x="70"/>
        <item m="1" x="10"/>
        <item m="1" x="43"/>
        <item m="1" x="27"/>
        <item m="1" x="18"/>
        <item m="1" x="67"/>
        <item m="1" x="39"/>
        <item m="1" x="68"/>
        <item m="1" x="40"/>
        <item m="1" x="26"/>
        <item m="1" x="22"/>
        <item x="2"/>
        <item x="3"/>
        <item m="1" x="77"/>
        <item m="1" x="71"/>
        <item m="1" x="23"/>
        <item m="1" x="21"/>
        <item m="1" x="64"/>
        <item m="1" x="72"/>
        <item m="1" x="11"/>
        <item m="1" x="28"/>
        <item m="1" x="41"/>
        <item m="1" x="61"/>
        <item m="1" x="76"/>
        <item m="1" x="12"/>
        <item m="1" x="38"/>
        <item m="1" x="42"/>
        <item m="1" x="65"/>
        <item m="1" x="45"/>
        <item m="1" x="17"/>
        <item m="1" x="33"/>
        <item m="1" x="52"/>
        <item m="1" x="34"/>
        <item m="1" x="53"/>
        <item m="1" x="35"/>
        <item m="1" x="54"/>
        <item m="1" x="36"/>
        <item m="1" x="55"/>
        <item m="1" x="37"/>
        <item m="1" x="56"/>
        <item m="1" x="5"/>
      </items>
    </pivotField>
    <pivotField axis="axisRow" compact="0" outline="0" showAll="0" defaultSubtotal="0">
      <items count="7">
        <item x="0"/>
        <item x="1"/>
        <item x="3"/>
        <item x="2"/>
        <item m="1" x="5"/>
        <item m="1" x="6"/>
        <item m="1" x="4"/>
      </items>
    </pivotField>
    <pivotField axis="axisRow" compact="0" outline="0" showAll="0" defaultSubtotal="0">
      <items count="5">
        <item x="0"/>
        <item x="1"/>
        <item x="2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">
    <i>
      <x v="3"/>
      <x v="10"/>
      <x v="1"/>
      <x v="2"/>
    </i>
    <i r="1">
      <x v="15"/>
      <x/>
      <x/>
    </i>
    <i r="1">
      <x v="16"/>
      <x v="1"/>
      <x/>
    </i>
    <i r="1">
      <x v="49"/>
      <x v="3"/>
      <x v="1"/>
    </i>
    <i r="1">
      <x v="50"/>
      <x v="2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7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name="CounterPivot" cacheId="62" applyNumberFormats="0" applyBorderFormats="0" applyFontFormats="0" applyPatternFormats="0" applyAlignmentFormats="0" applyWidthHeightFormats="1" dataCaption="Values" updatedVersion="6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name="ContinuousTimePivot" cacheId="68" applyNumberFormats="0" applyBorderFormats="0" applyFontFormats="0" applyPatternFormats="0" applyAlignmentFormats="0" applyWidthHeightFormats="1" dataCaption="Values" updatedVersion="6" minRefreshableVersion="3" showDataTips="0" useAutoFormatting="1" rowGrandTotals="0" colGrandTotals="0" itemPrintTitles="1" createdVersion="7" indent="0" compact="0" compactData="0" multipleFieldFilters="0">
  <location ref="O2:Y11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29">
        <item m="1" x="22"/>
        <item m="1" x="13"/>
        <item m="1" x="29"/>
        <item m="1" x="38"/>
        <item m="1" x="51"/>
        <item m="1" x="50"/>
        <item m="1" x="14"/>
        <item m="1" x="115"/>
        <item m="1" x="93"/>
        <item m="1" x="56"/>
        <item m="1" x="43"/>
        <item m="1" x="47"/>
        <item x="0"/>
        <item m="1" x="32"/>
        <item m="1" x="114"/>
        <item m="1" x="36"/>
        <item m="1" x="87"/>
        <item m="1" x="101"/>
        <item m="1" x="11"/>
        <item m="1" x="37"/>
        <item m="1" x="124"/>
        <item m="1" x="26"/>
        <item m="1" x="116"/>
        <item m="1" x="15"/>
        <item m="1" x="42"/>
        <item m="1" x="68"/>
        <item m="1" x="12"/>
        <item m="1" x="18"/>
        <item m="1" x="88"/>
        <item m="1" x="69"/>
        <item m="1" x="103"/>
        <item m="1" x="59"/>
        <item m="1" x="23"/>
        <item m="1" x="53"/>
        <item m="1" x="89"/>
        <item m="1" x="74"/>
        <item m="1" x="24"/>
        <item m="1" x="34"/>
        <item m="1" x="96"/>
        <item m="1" x="10"/>
        <item m="1" x="123"/>
        <item m="1" x="81"/>
        <item m="1" x="21"/>
        <item m="1" x="106"/>
        <item m="1" x="52"/>
        <item m="1" x="125"/>
        <item m="1" x="86"/>
        <item m="1" x="28"/>
        <item m="1" x="73"/>
        <item m="1" x="92"/>
        <item m="1" x="105"/>
        <item m="1" x="113"/>
        <item m="1" x="122"/>
        <item m="1" x="9"/>
        <item m="1" x="27"/>
        <item m="1" x="41"/>
        <item m="1" x="30"/>
        <item m="1" x="8"/>
        <item m="1" x="102"/>
        <item m="1" x="119"/>
        <item m="1" x="45"/>
        <item m="1" x="80"/>
        <item m="1" x="33"/>
        <item m="1" x="54"/>
        <item m="1" x="39"/>
        <item m="1" x="63"/>
        <item m="1" x="48"/>
        <item m="1" x="70"/>
        <item m="1" x="55"/>
        <item m="1" x="82"/>
        <item m="1" x="64"/>
        <item m="1" x="90"/>
        <item m="1" x="71"/>
        <item m="1" x="99"/>
        <item m="1" x="83"/>
        <item m="1" x="104"/>
        <item m="1" x="91"/>
        <item m="1" x="108"/>
        <item m="1" x="120"/>
        <item m="1" x="110"/>
        <item m="1" x="94"/>
        <item m="1" x="67"/>
        <item m="1" x="46"/>
        <item m="1" x="61"/>
        <item m="1" x="25"/>
        <item m="1" x="31"/>
        <item m="1" x="40"/>
        <item m="1" x="44"/>
        <item m="1" x="76"/>
        <item m="1" x="121"/>
        <item m="1" x="111"/>
        <item m="1" x="95"/>
        <item m="1" x="62"/>
        <item x="1"/>
        <item m="1" x="78"/>
        <item m="1" x="66"/>
        <item m="1" x="98"/>
        <item m="1" x="79"/>
        <item m="1" x="58"/>
        <item m="1" x="65"/>
        <item m="1" x="19"/>
        <item m="1" x="84"/>
        <item m="1" x="100"/>
        <item m="1" x="109"/>
        <item m="1" x="117"/>
        <item m="1" x="128"/>
        <item m="1" x="16"/>
        <item m="1" x="35"/>
        <item m="1" x="127"/>
        <item m="1" x="17"/>
        <item m="1" x="85"/>
        <item m="1" x="60"/>
        <item m="1" x="75"/>
        <item m="1" x="20"/>
        <item m="1" x="126"/>
        <item m="1" x="107"/>
        <item m="1" x="57"/>
        <item m="1" x="118"/>
        <item m="1" x="77"/>
        <item m="1" x="97"/>
        <item m="1" x="112"/>
        <item m="1" x="49"/>
        <item m="1" x="72"/>
        <item m="1" x="7"/>
        <item x="2"/>
        <item x="3"/>
        <item x="4"/>
        <item x="5"/>
        <item x="6"/>
      </items>
    </pivotField>
    <pivotField axis="axisRow" compact="0" outline="0" showAll="0" defaultSubtotal="0">
      <items count="7">
        <item x="1"/>
        <item x="2"/>
        <item x="3"/>
        <item x="4"/>
        <item x="0"/>
        <item m="1" x="6"/>
        <item m="1" x="5"/>
      </items>
    </pivotField>
    <pivotField axis="axisRow" compact="0" outline="0" showAll="0" defaultSubtotal="0">
      <items count="5">
        <item x="0"/>
        <item x="2"/>
        <item x="1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9">
    <i>
      <x v="3"/>
      <x v="12"/>
      <x v="4"/>
      <x/>
    </i>
    <i r="1">
      <x v="93"/>
      <x/>
      <x v="2"/>
    </i>
    <i r="2">
      <x v="1"/>
      <x v="2"/>
    </i>
    <i r="2">
      <x v="2"/>
      <x v="2"/>
    </i>
    <i r="1">
      <x v="124"/>
      <x v="3"/>
      <x v="1"/>
    </i>
    <i r="1">
      <x v="125"/>
      <x v="3"/>
      <x v="1"/>
    </i>
    <i r="1">
      <x v="126"/>
      <x v="3"/>
      <x v="1"/>
    </i>
    <i r="1">
      <x v="127"/>
      <x v="3"/>
      <x v="1"/>
    </i>
    <i r="1">
      <x v="128"/>
      <x v="3"/>
      <x v="1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name="FrequencyPivot" cacheId="74" applyNumberFormats="0" applyBorderFormats="0" applyFontFormats="0" applyPatternFormats="0" applyAlignmentFormats="0" applyWidthHeightFormats="1" dataCaption="Values" updatedVersion="6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7">
    <pivotField name="Project Name" axis="axisRow" compact="0" outline="0" subtotalTop="0" showAll="0" defaultSubtotal="0">
      <items count="3">
        <item m="1" x="1"/>
        <item x="0"/>
        <item m="1" x="2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5"/>
        <item m="1" x="6"/>
        <item m="1" x="1"/>
        <item m="1" x="3"/>
        <item m="1" x="4"/>
        <item x="0"/>
        <item m="1" x="2"/>
      </items>
    </pivotField>
    <pivotField axis="axisRow" compact="0" outline="0" showAll="0" defaultSubtotal="0">
      <items count="9">
        <item m="1" x="6"/>
        <item m="1" x="4"/>
        <item m="1" x="1"/>
        <item x="0"/>
        <item m="1" x="2"/>
        <item m="1" x="3"/>
        <item m="1" x="5"/>
        <item m="1" x="7"/>
        <item m="1" x="8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5" subtotal="max" baseField="0" baseItem="0" numFmtId="10"/>
    <dataField name="Average Restricted Percentage" fld="16" subtotal="max" baseField="0" baseItem="0" numFmtId="10"/>
  </dataFields>
  <formats count="1">
    <format dxfId="75">
      <pivotArea outline="0" fieldPosition="0">
        <references count="1">
          <reference field="4294967294" count="1" selected="0">
            <x v="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name="ExternalData_1" backgroundRefresh="0" connectionId="2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name="ExternalData_1" backgroundRefresh="0" connectionId="3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name="ExternalData_1" backgroundRefresh="0" connectionId="4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name="ExternalData_1" backgroundRefresh="0" connectionId="5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name="ExternalData_1" backgroundRefresh="0" connectionId="6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name="ExternalData_1" backgroundRefresh="0" connectionId="1" autoFormatId="0" applyNumberFormats="0" applyBorderFormats="0" applyFontFormats="1" applyPatternFormats="1" applyAlignmentFormats="0" applyWidthHeightFormats="0">
  <queryTableRefresh nextId="19" unboundColumnsRight="6">
    <queryTableFields count="17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8" name="IncludeOption" tableColumnId="1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id="8" name="ProjectInfoTable" displayName="ProjectInfoTable" ref="A1:G2" tableType="queryTable" totalsRowShown="0">
  <autoFilter ref="A1:G2"/>
  <tableColumns count="7">
    <tableColumn id="7" uniqueName="7" name="ProjectName" queryTableFieldId="1"/>
    <tableColumn id="8" uniqueName="8" name="ModelFile" queryTableFieldId="2"/>
    <tableColumn id="9" uniqueName="9" name="ModelRunDate" queryTableFieldId="3"/>
    <tableColumn id="10" uniqueName="10" name="TimeUnits" queryTableFieldId="4"/>
    <tableColumn id="11" uniqueName="11" name="NumberOfReplications" queryTableFieldId="5"/>
    <tableColumn id="1" uniqueName="1" name="AvgStatCollectionLength" queryTableFieldId="12"/>
    <tableColumn id="14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0" name="DiscreteStatsTable" displayName="DiscreteStatsTable" ref="A1:Y12" tableType="queryTable" totalsRowShown="0">
  <autoFilter ref="A1:Y12"/>
  <sortState ref="A2:Y12">
    <sortCondition ref="D1:D61"/>
  </sortState>
  <tableColumns count="25">
    <tableColumn id="12" uniqueName="12" name="ProjectName" queryTableFieldId="1"/>
    <tableColumn id="13" uniqueName="13" name="Project RunDateTime" queryTableFieldId="2"/>
    <tableColumn id="14" uniqueName="14" name="Replication" queryTableFieldId="3"/>
    <tableColumn id="15" uniqueName="15" name="Name" queryTableFieldId="4"/>
    <tableColumn id="16" uniqueName="16" name="Type" queryTableFieldId="5"/>
    <tableColumn id="17" uniqueName="17" name="Source" queryTableFieldId="6"/>
    <tableColumn id="18" uniqueName="18" name="Average" queryTableFieldId="7"/>
    <tableColumn id="19" uniqueName="19" name="BatchMeansHalfWidth" queryTableFieldId="8"/>
    <tableColumn id="20" uniqueName="20" name="Minimum" queryTableFieldId="9"/>
    <tableColumn id="21" uniqueName="21" name="Maximum" queryTableFieldId="10"/>
    <tableColumn id="22" uniqueName="22" name="NumberObservations" queryTableFieldId="11"/>
    <tableColumn id="23" uniqueName="23" name="GroupByKey" queryTableFieldId="12" dataDxfId="66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uniqueName="24" name="RepsRequested" queryTableFieldId="13" dataDxfId="65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uniqueName="25" name="AverageOfAverage" queryTableFieldId="14" dataDxfId="64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uniqueName="26" name="StDevOfAverage" queryTableFieldId="15" dataDxfId="63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uniqueName="27" name="ConfidenceInterval" queryTableFieldId="16" dataDxfId="62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uniqueName="28" name="HalfWidth" queryTableFieldId="17" dataDxfId="61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uniqueName="29" name="MinimumAverage" queryTableFieldId="18" dataDxfId="60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uniqueName="30" name="MaximumAverage" queryTableFieldId="19" dataDxfId="59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uniqueName="31" name="OverallMinimum" queryTableFieldId="20" dataDxfId="58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uniqueName="32" name="OverallMaximum" queryTableFieldId="21" dataDxfId="57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uniqueName="33" name="AverageNumberObservations" queryTableFieldId="22" dataDxfId="56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uniqueName="1" name="SummaryHalfWidth" queryTableFieldId="23" dataDxfId="55">
      <calculatedColumnFormula>IF((DiscreteStatsTable[[#This Row],[RepsRequested]]&gt;1),DiscreteStatsTable[[#This Row],[HalfWidth]],DiscreteStatsTable[[#This Row],[BatchMeansHalfWidth]])</calculatedColumnFormula>
    </tableColumn>
    <tableColumn id="2" uniqueName="2" name="RepsWithStatObserved" queryTableFieldId="24" dataDxfId="54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uniqueName="3" name="Observed=Requested" queryTableFieldId="25" dataDxfId="53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1" name="ContinuousStatsTable" displayName="ContinuousStatsTable" ref="A1:U10" tableType="queryTable" totalsRowShown="0">
  <autoFilter ref="A1:U10"/>
  <tableColumns count="21">
    <tableColumn id="13" uniqueName="13" name="ProjectName" queryTableFieldId="1"/>
    <tableColumn id="14" uniqueName="14" name="Project RunDateTime" queryTableFieldId="2"/>
    <tableColumn id="15" uniqueName="15" name="Replication" queryTableFieldId="3"/>
    <tableColumn id="16" uniqueName="16" name="Name" queryTableFieldId="4"/>
    <tableColumn id="17" uniqueName="17" name="Type" queryTableFieldId="5"/>
    <tableColumn id="18" uniqueName="18" name="Source" queryTableFieldId="6"/>
    <tableColumn id="19" uniqueName="19" name="Average" queryTableFieldId="7"/>
    <tableColumn id="20" uniqueName="20" name="BatchMeansHalfWidth" queryTableFieldId="8"/>
    <tableColumn id="21" uniqueName="21" name="Minimum" queryTableFieldId="9"/>
    <tableColumn id="23" uniqueName="23" name="Maximum" queryTableFieldId="11"/>
    <tableColumn id="24" uniqueName="24" name="LastRecordedValue" queryTableFieldId="12"/>
    <tableColumn id="2" uniqueName="2" name="IsPeriodic" queryTableFieldId="22"/>
    <tableColumn id="25" uniqueName="25" name="GroupByKey" queryTableFieldId="13" dataDxfId="74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uniqueName="26" name="RepsRequested" queryTableFieldId="14" dataDxfId="73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uniqueName="27" name="AverageOfAverage" queryTableFieldId="15" dataDxfId="72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uniqueName="28" name="StDevOfAverage" queryTableFieldId="16" dataDxfId="52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uniqueName="29" name="ConfidenceInterval" queryTableFieldId="17" dataDxfId="51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uniqueName="30" name="HalfWidth" queryTableFieldId="18" dataDxfId="50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uniqueName="31" name="MinimumAverage" queryTableFieldId="19" dataDxfId="49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uniqueName="32" name="MaximumAverage" queryTableFieldId="20" dataDxfId="48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uniqueName="1" name="SummaryHalfWidth" queryTableFieldId="21" dataDxfId="47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2" name="CountersTable" displayName="CountersTable" ref="A1:O2" tableType="queryTable" insertRow="1" totalsRowShown="0">
  <autoFilter ref="A1:O2"/>
  <tableColumns count="15">
    <tableColumn id="8" uniqueName="8" name="ProjectName" queryTableFieldId="1"/>
    <tableColumn id="9" uniqueName="9" name="Project RunDateTime" queryTableFieldId="2"/>
    <tableColumn id="10" uniqueName="10" name="Replication" queryTableFieldId="3"/>
    <tableColumn id="11" uniqueName="11" name="Name" queryTableFieldId="4"/>
    <tableColumn id="12" uniqueName="12" name="Type" queryTableFieldId="5"/>
    <tableColumn id="13" uniqueName="13" name="Source" queryTableFieldId="6"/>
    <tableColumn id="14" uniqueName="14" name="RecordedValue" queryTableFieldId="7"/>
    <tableColumn id="15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uniqueName="16" name="RepsRequested" queryTableFieldId="9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uniqueName="18" name="StandardDeviation" queryTableFieldId="11" dataDxfId="46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uniqueName="19" name="ConfidenceInterval" queryTableFieldId="12" dataDxfId="45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uniqueName="20" name="HalfWidth" queryTableFieldId="13" dataDxfId="44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uniqueName="21" name="Minimum" queryTableFieldId="14" dataDxfId="43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uniqueName="22" name="Maximum" queryTableFieldId="15" dataDxfId="42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3" name="OutputTable" displayName="OutputTable" ref="A1:P6" tableType="queryTable" totalsRowShown="0">
  <autoFilter ref="A1:P6"/>
  <tableColumns count="16">
    <tableColumn id="8" uniqueName="8" name="ProjectName" queryTableFieldId="1"/>
    <tableColumn id="9" uniqueName="9" name="Project RunDateTime" queryTableFieldId="2"/>
    <tableColumn id="10" uniqueName="10" name="Replication" queryTableFieldId="3"/>
    <tableColumn id="11" uniqueName="11" name="Name" queryTableFieldId="4"/>
    <tableColumn id="12" uniqueName="12" name="Type" queryTableFieldId="5"/>
    <tableColumn id="13" uniqueName="13" name="Source" queryTableFieldId="6"/>
    <tableColumn id="14" uniqueName="14" name="RecordedValue" queryTableFieldId="7"/>
    <tableColumn id="1" uniqueName="1" name="IsPeriodic" queryTableFieldId="16"/>
    <tableColumn id="15" uniqueName="15" name="GroupByKey" queryTableFieldId="8" dataDxfId="71">
      <calculatedColumnFormula>OutputTable[[#This Row],[ProjectName]]&amp;OutputTable[[#This Row],[Name]]&amp;OutputTable[[#This Row],[Type]]&amp;OutputTable[[#This Row],[Source]]</calculatedColumnFormula>
    </tableColumn>
    <tableColumn id="16" uniqueName="16" name="RepsRequested" queryTableFieldId="9" dataDxfId="70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uniqueName="17" name="Average" queryTableFieldId="10" dataDxfId="69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uniqueName="18" name="StandardDeviation" queryTableFieldId="11" dataDxfId="41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uniqueName="19" name="ConfidenceInterval" queryTableFieldId="12" dataDxfId="40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uniqueName="20" name="HalfWidth" queryTableFieldId="13" dataDxfId="39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uniqueName="21" name="Minimum" queryTableFieldId="14" dataDxfId="38">
      <calculatedColumnFormula array="1">MIN(IF((OutputTable[GroupByKey]=OutputTable[[#This Row],[GroupByKey]]),(OutputTable[GroupByKey]=OutputTable[[#This Row],[GroupByKey]])*OutputTable[RecordedValue]))</calculatedColumnFormula>
    </tableColumn>
    <tableColumn id="22" uniqueName="22" name="Maximum" queryTableFieldId="15" dataDxfId="37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" name="FrequencyTable" displayName="FrequencyTable" ref="A1:Q2" tableType="queryTable" insertRow="1" totalsRowShown="0">
  <autoFilter ref="A1:Q2"/>
  <tableColumns count="17">
    <tableColumn id="11" uniqueName="11" name="ProjectName" queryTableFieldId="1"/>
    <tableColumn id="12" uniqueName="12" name="Project RunDateTime" queryTableFieldId="2"/>
    <tableColumn id="13" uniqueName="13" name="Replication" queryTableFieldId="3"/>
    <tableColumn id="14" uniqueName="14" name="Name" queryTableFieldId="4"/>
    <tableColumn id="15" uniqueName="15" name="Category" queryTableFieldId="5"/>
    <tableColumn id="16" uniqueName="16" name="Source" queryTableFieldId="6"/>
    <tableColumn id="17" uniqueName="17" name="StandardPercentage" queryTableFieldId="7"/>
    <tableColumn id="18" uniqueName="18" name="RestrictedPercentage" queryTableFieldId="8" dataDxfId="0"/>
    <tableColumn id="19" uniqueName="19" name="AverageTimeInCategory" queryTableFieldId="9"/>
    <tableColumn id="20" uniqueName="20" name="FrequencyCategoryCount" queryTableFieldId="10"/>
    <tableColumn id="1" uniqueName="1" name="IncludeOption" queryTableFieldId="18"/>
    <tableColumn id="21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uniqueName="23" name="SummaryStandardPercentage" queryTableFieldId="13">
      <calculatedColumnFormula>FrequencyTable[[#This Row],[StandardPercentage]]/100</calculatedColumnFormula>
    </tableColumn>
    <tableColumn id="24" uniqueName="24" name="SummaryRestrictedPercentage" queryTableFieldId="14" dataDxfId="68">
      <calculatedColumnFormula>IF(FrequencyTable[[#This Row],[IncludeOption]]=1,(FrequencyTable[[#This Row],[RestrictedPercentage]]/100),400000000000000000000)</calculatedColumnFormula>
    </tableColumn>
    <tableColumn id="25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uniqueName="27" name="AverageRestrictedPercentage" queryTableFieldId="17" dataDxfId="67">
      <calculatedColumnFormula array="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G2"/>
  <sheetViews>
    <sheetView workbookViewId="0">
      <selection activeCell="F3" sqref="F3"/>
    </sheetView>
  </sheetViews>
  <sheetFormatPr defaultRowHeight="14.4" x14ac:dyDescent="0.3"/>
  <cols>
    <col min="1" max="1" width="15.21875" bestFit="1" customWidth="1"/>
    <col min="2" max="2" width="46" bestFit="1" customWidth="1"/>
    <col min="3" max="3" width="18.109375" bestFit="1" customWidth="1"/>
    <col min="4" max="4" width="11.6640625" bestFit="1" customWidth="1"/>
    <col min="5" max="5" width="22.44140625" bestFit="1" customWidth="1"/>
    <col min="6" max="6" width="24.21875" bestFit="1" customWidth="1"/>
    <col min="7" max="10" width="19.44140625" bestFit="1" customWidth="1"/>
    <col min="11" max="11" width="19.44140625" customWidth="1"/>
  </cols>
  <sheetData>
    <row r="1" spans="1:7" x14ac:dyDescent="0.3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3">
      <c r="A2" t="s">
        <v>66</v>
      </c>
      <c r="B2" t="s">
        <v>68</v>
      </c>
      <c r="C2" t="s">
        <v>69</v>
      </c>
      <c r="D2">
        <v>3</v>
      </c>
      <c r="E2">
        <v>1</v>
      </c>
      <c r="F2">
        <v>1000</v>
      </c>
      <c r="G2">
        <f>0.95</f>
        <v>0.95</v>
      </c>
    </row>
  </sheetData>
  <phoneticPr fontId="2" type="noConversion"/>
  <conditionalFormatting sqref="D2">
    <cfRule type="expression" dxfId="36" priority="1">
      <formula>D2=3</formula>
    </cfRule>
    <cfRule type="expression" dxfId="35" priority="2">
      <formula>D2=2</formula>
    </cfRule>
    <cfRule type="expression" dxfId="34" priority="3">
      <formula>D2=1</formula>
    </cfRule>
    <cfRule type="expression" dxfId="33" priority="4">
      <formula>D2=0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Z13"/>
  <sheetViews>
    <sheetView tabSelected="1" workbookViewId="0"/>
  </sheetViews>
  <sheetFormatPr defaultRowHeight="14.4" x14ac:dyDescent="0.3"/>
  <cols>
    <col min="1" max="1" width="33.21875" customWidth="1"/>
    <col min="2" max="2" width="28.6640625" bestFit="1" customWidth="1"/>
    <col min="3" max="3" width="12.5546875" bestFit="1" customWidth="1"/>
    <col min="4" max="4" width="9" bestFit="1" customWidth="1"/>
    <col min="5" max="5" width="28.6640625" bestFit="1" customWidth="1"/>
    <col min="6" max="6" width="19.5546875" bestFit="1" customWidth="1"/>
    <col min="7" max="7" width="10.109375" bestFit="1" customWidth="1"/>
    <col min="8" max="8" width="26.6640625" bestFit="1" customWidth="1"/>
    <col min="9" max="9" width="26.77734375" bestFit="1" customWidth="1"/>
    <col min="10" max="10" width="27.109375" bestFit="1" customWidth="1"/>
    <col min="11" max="11" width="16" bestFit="1" customWidth="1"/>
    <col min="12" max="12" width="16.33203125" bestFit="1" customWidth="1"/>
    <col min="13" max="13" width="29.109375" bestFit="1" customWidth="1"/>
    <col min="14" max="14" width="27.6640625" bestFit="1" customWidth="1"/>
    <col min="15" max="15" width="18.6640625" bestFit="1" customWidth="1"/>
    <col min="16" max="16" width="12" bestFit="1" customWidth="1"/>
    <col min="17" max="17" width="12.5546875" bestFit="1" customWidth="1"/>
    <col min="18" max="18" width="9" bestFit="1" customWidth="1"/>
    <col min="19" max="19" width="28.6640625" bestFit="1" customWidth="1"/>
    <col min="20" max="20" width="10.109375" bestFit="1" customWidth="1"/>
    <col min="21" max="21" width="26.6640625" bestFit="1" customWidth="1"/>
    <col min="22" max="22" width="21.77734375" bestFit="1" customWidth="1"/>
    <col min="23" max="23" width="22.109375" bestFit="1" customWidth="1"/>
    <col min="24" max="24" width="16" bestFit="1" customWidth="1"/>
    <col min="25" max="26" width="16.33203125" bestFit="1" customWidth="1"/>
    <col min="27" max="27" width="20.6640625" bestFit="1" customWidth="1"/>
    <col min="28" max="28" width="24.6640625" bestFit="1" customWidth="1"/>
    <col min="29" max="29" width="12" bestFit="1" customWidth="1"/>
    <col min="30" max="30" width="9" bestFit="1" customWidth="1"/>
    <col min="31" max="31" width="24.6640625" bestFit="1" customWidth="1"/>
    <col min="32" max="32" width="10.109375" bestFit="1" customWidth="1"/>
    <col min="33" max="33" width="29.109375" bestFit="1" customWidth="1"/>
    <col min="34" max="34" width="19.5546875" bestFit="1" customWidth="1"/>
    <col min="35" max="36" width="19.88671875" bestFit="1" customWidth="1"/>
    <col min="37" max="37" width="32.33203125" bestFit="1" customWidth="1"/>
    <col min="38" max="38" width="24.6640625" bestFit="1" customWidth="1"/>
    <col min="39" max="39" width="12" bestFit="1" customWidth="1"/>
    <col min="40" max="40" width="9" bestFit="1" customWidth="1"/>
    <col min="41" max="41" width="24.6640625" bestFit="1" customWidth="1"/>
    <col min="42" max="42" width="10.109375" bestFit="1" customWidth="1"/>
    <col min="43" max="43" width="29.109375" bestFit="1" customWidth="1"/>
    <col min="44" max="44" width="19.5546875" bestFit="1" customWidth="1"/>
    <col min="45" max="46" width="19.88671875" bestFit="1" customWidth="1"/>
    <col min="47" max="47" width="14.88671875" bestFit="1" customWidth="1"/>
    <col min="48" max="48" width="20.6640625" bestFit="1" customWidth="1"/>
    <col min="49" max="49" width="26.33203125" bestFit="1" customWidth="1"/>
    <col min="50" max="50" width="9" bestFit="1" customWidth="1"/>
    <col min="51" max="51" width="26.33203125" bestFit="1" customWidth="1"/>
    <col min="52" max="53" width="27" bestFit="1" customWidth="1"/>
    <col min="54" max="54" width="24.88671875" bestFit="1" customWidth="1"/>
    <col min="55" max="55" width="29.21875" bestFit="1" customWidth="1"/>
    <col min="56" max="56" width="31.88671875" bestFit="1" customWidth="1"/>
    <col min="57" max="57" width="21.77734375" bestFit="1" customWidth="1"/>
  </cols>
  <sheetData>
    <row r="1" spans="1:52" ht="18" x14ac:dyDescent="0.35">
      <c r="A1" s="2" t="s">
        <v>10</v>
      </c>
      <c r="O1" s="1" t="s">
        <v>12</v>
      </c>
      <c r="AA1" s="1" t="s">
        <v>18</v>
      </c>
      <c r="AK1" s="2" t="s">
        <v>13</v>
      </c>
      <c r="AU1" s="1" t="s">
        <v>11</v>
      </c>
    </row>
    <row r="2" spans="1:52" x14ac:dyDescent="0.3">
      <c r="A2" s="4" t="s">
        <v>41</v>
      </c>
      <c r="B2" s="4" t="s">
        <v>21</v>
      </c>
      <c r="C2" s="4" t="s">
        <v>23</v>
      </c>
      <c r="D2" s="4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4" t="s">
        <v>41</v>
      </c>
      <c r="P2" s="4" t="s">
        <v>21</v>
      </c>
      <c r="Q2" s="4" t="s">
        <v>23</v>
      </c>
      <c r="R2" s="4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4" t="s">
        <v>41</v>
      </c>
      <c r="AB2" s="4" t="s">
        <v>21</v>
      </c>
      <c r="AC2" s="4" t="s">
        <v>23</v>
      </c>
      <c r="AD2" s="4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4" t="s">
        <v>41</v>
      </c>
      <c r="AL2" s="4" t="s">
        <v>21</v>
      </c>
      <c r="AM2" s="4" t="s">
        <v>23</v>
      </c>
      <c r="AN2" s="4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4" t="s">
        <v>41</v>
      </c>
      <c r="AV2" s="4" t="s">
        <v>21</v>
      </c>
      <c r="AW2" s="4" t="s">
        <v>57</v>
      </c>
      <c r="AX2" s="4" t="s">
        <v>22</v>
      </c>
      <c r="AY2" t="s">
        <v>58</v>
      </c>
      <c r="AZ2" t="s">
        <v>59</v>
      </c>
    </row>
    <row r="3" spans="1:52" x14ac:dyDescent="0.3">
      <c r="A3" t="s">
        <v>66</v>
      </c>
      <c r="B3" t="s">
        <v>70</v>
      </c>
      <c r="C3" t="s">
        <v>71</v>
      </c>
      <c r="D3" t="s">
        <v>72</v>
      </c>
      <c r="E3" s="3">
        <v>0</v>
      </c>
      <c r="F3" s="3">
        <v>1</v>
      </c>
      <c r="G3" s="3">
        <v>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M3" s="3">
        <v>960</v>
      </c>
      <c r="O3" t="s">
        <v>66</v>
      </c>
      <c r="P3" t="s">
        <v>70</v>
      </c>
      <c r="Q3" t="s">
        <v>85</v>
      </c>
      <c r="R3" t="s">
        <v>72</v>
      </c>
      <c r="S3" s="3">
        <v>42.207209128385401</v>
      </c>
      <c r="T3" s="3">
        <v>3E+20</v>
      </c>
      <c r="U3" s="3">
        <v>0</v>
      </c>
      <c r="V3" s="3">
        <v>42.207209128385401</v>
      </c>
      <c r="W3" s="3">
        <v>42.207209128385401</v>
      </c>
      <c r="X3" s="3">
        <v>0</v>
      </c>
      <c r="Y3" s="3">
        <v>69</v>
      </c>
      <c r="AA3" t="s">
        <v>102</v>
      </c>
      <c r="AB3" t="s">
        <v>102</v>
      </c>
      <c r="AC3" t="s">
        <v>102</v>
      </c>
      <c r="AD3" t="s">
        <v>102</v>
      </c>
      <c r="AE3" s="3"/>
      <c r="AF3" s="3"/>
      <c r="AG3" s="3"/>
      <c r="AH3" s="3"/>
      <c r="AI3" s="3"/>
      <c r="AK3" t="s">
        <v>66</v>
      </c>
      <c r="AL3" t="s">
        <v>100</v>
      </c>
      <c r="AM3" t="s">
        <v>95</v>
      </c>
      <c r="AN3" t="s">
        <v>101</v>
      </c>
      <c r="AO3" s="3">
        <v>960</v>
      </c>
      <c r="AP3" s="3">
        <v>4E+20</v>
      </c>
      <c r="AQ3" s="3">
        <v>0</v>
      </c>
      <c r="AR3" s="3">
        <v>960</v>
      </c>
      <c r="AS3" s="3">
        <v>960</v>
      </c>
      <c r="AU3" t="s">
        <v>102</v>
      </c>
      <c r="AV3" t="s">
        <v>102</v>
      </c>
      <c r="AW3" t="s">
        <v>102</v>
      </c>
      <c r="AX3" t="s">
        <v>102</v>
      </c>
      <c r="AY3" s="6"/>
      <c r="AZ3" s="6"/>
    </row>
    <row r="4" spans="1:52" x14ac:dyDescent="0.3">
      <c r="C4" t="s">
        <v>73</v>
      </c>
      <c r="D4" t="s">
        <v>72</v>
      </c>
      <c r="E4" s="3">
        <v>0</v>
      </c>
      <c r="F4" s="3">
        <v>1</v>
      </c>
      <c r="G4" s="3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M4" s="3">
        <v>960</v>
      </c>
      <c r="P4" t="s">
        <v>86</v>
      </c>
      <c r="Q4" t="s">
        <v>87</v>
      </c>
      <c r="R4" t="s">
        <v>88</v>
      </c>
      <c r="S4" s="3">
        <v>0.93380109413770496</v>
      </c>
      <c r="T4" s="3">
        <v>3E+20</v>
      </c>
      <c r="U4" s="3">
        <v>0</v>
      </c>
      <c r="V4" s="3">
        <v>0.93380109413770496</v>
      </c>
      <c r="W4" s="3">
        <v>0.93380109413770496</v>
      </c>
      <c r="X4" s="3">
        <v>0</v>
      </c>
      <c r="Y4" s="3">
        <v>1</v>
      </c>
      <c r="AL4" t="s">
        <v>92</v>
      </c>
      <c r="AM4" t="s">
        <v>93</v>
      </c>
      <c r="AN4" t="s">
        <v>72</v>
      </c>
      <c r="AO4" s="3">
        <v>1015</v>
      </c>
      <c r="AP4" s="3">
        <v>4E+20</v>
      </c>
      <c r="AQ4" s="3">
        <v>0</v>
      </c>
      <c r="AR4" s="3">
        <v>1015</v>
      </c>
      <c r="AS4" s="3">
        <v>1015</v>
      </c>
    </row>
    <row r="5" spans="1:52" x14ac:dyDescent="0.3">
      <c r="C5" t="s">
        <v>74</v>
      </c>
      <c r="D5" t="s">
        <v>72</v>
      </c>
      <c r="E5" s="3">
        <v>40.9096743279826</v>
      </c>
      <c r="F5" s="3">
        <v>1</v>
      </c>
      <c r="G5" s="3">
        <v>3E+20</v>
      </c>
      <c r="H5" s="3">
        <v>0</v>
      </c>
      <c r="I5" s="3">
        <v>40.9096743279826</v>
      </c>
      <c r="J5" s="3">
        <v>40.9096743279826</v>
      </c>
      <c r="K5" s="3">
        <v>1.8089357453842301E-2</v>
      </c>
      <c r="L5" s="3">
        <v>501.115279158357</v>
      </c>
      <c r="M5" s="3">
        <v>960</v>
      </c>
      <c r="Q5" t="s">
        <v>89</v>
      </c>
      <c r="R5" t="s">
        <v>88</v>
      </c>
      <c r="S5" s="3">
        <v>0.93380109413770496</v>
      </c>
      <c r="T5" s="3">
        <v>3E+20</v>
      </c>
      <c r="U5" s="3">
        <v>0</v>
      </c>
      <c r="V5" s="3">
        <v>0.93380109413770496</v>
      </c>
      <c r="W5" s="3">
        <v>0.93380109413770496</v>
      </c>
      <c r="X5" s="3">
        <v>0</v>
      </c>
      <c r="Y5" s="3">
        <v>1</v>
      </c>
      <c r="AL5" t="s">
        <v>94</v>
      </c>
      <c r="AM5" t="s">
        <v>95</v>
      </c>
      <c r="AN5" t="s">
        <v>72</v>
      </c>
      <c r="AO5" s="3">
        <v>960</v>
      </c>
      <c r="AP5" s="3">
        <v>4E+20</v>
      </c>
      <c r="AQ5" s="3">
        <v>0</v>
      </c>
      <c r="AR5" s="3">
        <v>960</v>
      </c>
      <c r="AS5" s="3">
        <v>960</v>
      </c>
    </row>
    <row r="6" spans="1:52" x14ac:dyDescent="0.3">
      <c r="C6" t="s">
        <v>75</v>
      </c>
      <c r="D6" t="s">
        <v>72</v>
      </c>
      <c r="E6" s="3">
        <v>0</v>
      </c>
      <c r="F6" s="3">
        <v>1</v>
      </c>
      <c r="G6" s="3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M6" s="3">
        <v>960</v>
      </c>
      <c r="Q6" t="s">
        <v>90</v>
      </c>
      <c r="R6" t="s">
        <v>88</v>
      </c>
      <c r="S6" s="3">
        <v>1</v>
      </c>
      <c r="T6" s="3">
        <v>2E+20</v>
      </c>
      <c r="U6" s="3">
        <v>0</v>
      </c>
      <c r="V6" s="3">
        <v>1</v>
      </c>
      <c r="W6" s="3">
        <v>1</v>
      </c>
      <c r="X6" s="3">
        <v>1</v>
      </c>
      <c r="Y6" s="3">
        <v>1</v>
      </c>
      <c r="AL6" t="s">
        <v>96</v>
      </c>
      <c r="AM6" t="s">
        <v>97</v>
      </c>
      <c r="AN6" t="s">
        <v>88</v>
      </c>
      <c r="AO6" s="3">
        <v>961</v>
      </c>
      <c r="AP6" s="3">
        <v>4E+20</v>
      </c>
      <c r="AQ6" s="3">
        <v>0</v>
      </c>
      <c r="AR6" s="3">
        <v>961</v>
      </c>
      <c r="AS6" s="3">
        <v>961</v>
      </c>
    </row>
    <row r="7" spans="1:52" x14ac:dyDescent="0.3">
      <c r="C7" t="s">
        <v>76</v>
      </c>
      <c r="D7" t="s">
        <v>72</v>
      </c>
      <c r="E7" s="3">
        <v>40.9096743279826</v>
      </c>
      <c r="F7" s="3">
        <v>1</v>
      </c>
      <c r="G7" s="3">
        <v>3E+20</v>
      </c>
      <c r="H7" s="3">
        <v>0</v>
      </c>
      <c r="I7" s="3">
        <v>40.9096743279826</v>
      </c>
      <c r="J7" s="3">
        <v>40.9096743279826</v>
      </c>
      <c r="K7" s="3">
        <v>1.8089357453842301E-2</v>
      </c>
      <c r="L7" s="3">
        <v>501.115279158357</v>
      </c>
      <c r="M7" s="3">
        <v>960</v>
      </c>
      <c r="P7" t="s">
        <v>78</v>
      </c>
      <c r="Q7" t="s">
        <v>91</v>
      </c>
      <c r="R7" t="s">
        <v>80</v>
      </c>
      <c r="S7" s="3">
        <v>0</v>
      </c>
      <c r="T7" s="3">
        <v>2E+20</v>
      </c>
      <c r="U7" s="3">
        <v>0</v>
      </c>
      <c r="V7" s="3">
        <v>0</v>
      </c>
      <c r="W7" s="3">
        <v>0</v>
      </c>
      <c r="X7" s="3">
        <v>0</v>
      </c>
      <c r="Y7" s="3">
        <v>0</v>
      </c>
      <c r="AL7" t="s">
        <v>98</v>
      </c>
      <c r="AM7" t="s">
        <v>99</v>
      </c>
      <c r="AN7" t="s">
        <v>88</v>
      </c>
      <c r="AO7" s="3">
        <v>0.93380109413770496</v>
      </c>
      <c r="AP7" s="3">
        <v>4E+20</v>
      </c>
      <c r="AQ7" s="3">
        <v>0</v>
      </c>
      <c r="AR7" s="3">
        <v>0.93380109413770496</v>
      </c>
      <c r="AS7" s="3">
        <v>0.93380109413770496</v>
      </c>
    </row>
    <row r="8" spans="1:52" x14ac:dyDescent="0.3">
      <c r="C8" t="s">
        <v>77</v>
      </c>
      <c r="D8" t="s">
        <v>72</v>
      </c>
      <c r="E8" s="3">
        <v>0</v>
      </c>
      <c r="F8" s="3">
        <v>1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M8" s="3">
        <v>960</v>
      </c>
      <c r="P8" t="s">
        <v>81</v>
      </c>
      <c r="Q8" t="s">
        <v>91</v>
      </c>
      <c r="R8" t="s">
        <v>80</v>
      </c>
      <c r="S8" s="3">
        <v>0</v>
      </c>
      <c r="T8" s="3">
        <v>2E+20</v>
      </c>
      <c r="U8" s="3">
        <v>0</v>
      </c>
      <c r="V8" s="3">
        <v>0</v>
      </c>
      <c r="W8" s="3">
        <v>0</v>
      </c>
      <c r="X8" s="3">
        <v>0</v>
      </c>
      <c r="Y8" s="3">
        <v>0</v>
      </c>
    </row>
    <row r="9" spans="1:52" x14ac:dyDescent="0.3">
      <c r="B9" t="s">
        <v>78</v>
      </c>
      <c r="C9" t="s">
        <v>79</v>
      </c>
      <c r="D9" t="s">
        <v>80</v>
      </c>
      <c r="E9" s="3">
        <v>0</v>
      </c>
      <c r="F9" s="3">
        <v>1</v>
      </c>
      <c r="G9" s="3">
        <v>2E+20</v>
      </c>
      <c r="H9" s="3">
        <v>0</v>
      </c>
      <c r="I9" s="3">
        <v>0</v>
      </c>
      <c r="J9" s="3">
        <v>0</v>
      </c>
      <c r="K9" s="3">
        <v>0</v>
      </c>
      <c r="L9" s="3">
        <v>0</v>
      </c>
      <c r="M9" s="3">
        <v>227</v>
      </c>
      <c r="P9" t="s">
        <v>82</v>
      </c>
      <c r="Q9" t="s">
        <v>91</v>
      </c>
      <c r="R9" t="s">
        <v>80</v>
      </c>
      <c r="S9" s="3">
        <v>0</v>
      </c>
      <c r="T9" s="3">
        <v>2E+20</v>
      </c>
      <c r="U9" s="3">
        <v>0</v>
      </c>
      <c r="V9" s="3">
        <v>0</v>
      </c>
      <c r="W9" s="3">
        <v>0</v>
      </c>
      <c r="X9" s="3">
        <v>0</v>
      </c>
      <c r="Y9" s="3">
        <v>0</v>
      </c>
    </row>
    <row r="10" spans="1:52" x14ac:dyDescent="0.3">
      <c r="B10" t="s">
        <v>81</v>
      </c>
      <c r="C10" t="s">
        <v>79</v>
      </c>
      <c r="D10" t="s">
        <v>80</v>
      </c>
      <c r="E10" s="3">
        <v>0</v>
      </c>
      <c r="F10" s="3">
        <v>1</v>
      </c>
      <c r="G10" s="3">
        <v>2E+20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196</v>
      </c>
      <c r="P10" t="s">
        <v>83</v>
      </c>
      <c r="Q10" t="s">
        <v>91</v>
      </c>
      <c r="R10" t="s">
        <v>80</v>
      </c>
      <c r="S10" s="3">
        <v>0</v>
      </c>
      <c r="T10" s="3">
        <v>2E+20</v>
      </c>
      <c r="U10" s="3">
        <v>0</v>
      </c>
      <c r="V10" s="3">
        <v>0</v>
      </c>
      <c r="W10" s="3">
        <v>0</v>
      </c>
      <c r="X10" s="3">
        <v>0</v>
      </c>
      <c r="Y10" s="3">
        <v>0</v>
      </c>
    </row>
    <row r="11" spans="1:52" x14ac:dyDescent="0.3">
      <c r="B11" t="s">
        <v>82</v>
      </c>
      <c r="C11" t="s">
        <v>79</v>
      </c>
      <c r="D11" t="s">
        <v>80</v>
      </c>
      <c r="E11" s="3">
        <v>0</v>
      </c>
      <c r="F11" s="3">
        <v>1</v>
      </c>
      <c r="G11" s="3">
        <v>2E+20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M11" s="3">
        <v>185</v>
      </c>
      <c r="P11" t="s">
        <v>84</v>
      </c>
      <c r="Q11" t="s">
        <v>91</v>
      </c>
      <c r="R11" t="s">
        <v>80</v>
      </c>
      <c r="S11" s="3">
        <v>0</v>
      </c>
      <c r="T11" s="3">
        <v>2E+20</v>
      </c>
      <c r="U11" s="3">
        <v>0</v>
      </c>
      <c r="V11" s="3">
        <v>0</v>
      </c>
      <c r="W11" s="3">
        <v>0</v>
      </c>
      <c r="X11" s="3">
        <v>0</v>
      </c>
      <c r="Y11" s="3">
        <v>0</v>
      </c>
    </row>
    <row r="12" spans="1:52" x14ac:dyDescent="0.3">
      <c r="B12" t="s">
        <v>83</v>
      </c>
      <c r="C12" t="s">
        <v>79</v>
      </c>
      <c r="D12" t="s">
        <v>80</v>
      </c>
      <c r="E12" s="3">
        <v>0</v>
      </c>
      <c r="F12" s="3">
        <v>1</v>
      </c>
      <c r="G12" s="3">
        <v>2E+20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188</v>
      </c>
    </row>
    <row r="13" spans="1:52" x14ac:dyDescent="0.3">
      <c r="B13" t="s">
        <v>84</v>
      </c>
      <c r="C13" t="s">
        <v>79</v>
      </c>
      <c r="D13" t="s">
        <v>80</v>
      </c>
      <c r="E13" s="3">
        <v>0</v>
      </c>
      <c r="F13" s="3">
        <v>1</v>
      </c>
      <c r="G13" s="3">
        <v>2E+20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165</v>
      </c>
    </row>
  </sheetData>
  <dataConsolidate/>
  <conditionalFormatting pivot="1" sqref="G3:G13">
    <cfRule type="expression" dxfId="32" priority="14">
      <formula>G3=200000000000000000000</formula>
    </cfRule>
  </conditionalFormatting>
  <conditionalFormatting pivot="1" sqref="T3:T11">
    <cfRule type="expression" dxfId="31" priority="13">
      <formula>T3=200000000000000000000</formula>
    </cfRule>
  </conditionalFormatting>
  <conditionalFormatting pivot="1" sqref="T3:T11">
    <cfRule type="expression" dxfId="30" priority="12">
      <formula>T3=300000000000000000000</formula>
    </cfRule>
  </conditionalFormatting>
  <conditionalFormatting pivot="1" sqref="G3:G13">
    <cfRule type="expression" dxfId="29" priority="11">
      <formula>G3=300000000000000000000</formula>
    </cfRule>
  </conditionalFormatting>
  <conditionalFormatting pivot="1" sqref="F3:F13">
    <cfRule type="expression" dxfId="28" priority="10">
      <formula>F3=0</formula>
    </cfRule>
  </conditionalFormatting>
  <conditionalFormatting pivot="1" sqref="F3:F13">
    <cfRule type="expression" dxfId="27" priority="9">
      <formula>F3=1</formula>
    </cfRule>
  </conditionalFormatting>
  <conditionalFormatting pivot="1" sqref="T3:T11">
    <cfRule type="expression" dxfId="26" priority="8">
      <formula>T3=400000000000000000000</formula>
    </cfRule>
  </conditionalFormatting>
  <conditionalFormatting pivot="1" sqref="AP3:AP7">
    <cfRule type="expression" dxfId="25" priority="7">
      <formula>AP3=400000000000000000000</formula>
    </cfRule>
  </conditionalFormatting>
  <conditionalFormatting pivot="1" sqref="AF3">
    <cfRule type="expression" dxfId="24" priority="6">
      <formula>AF3=400000000000000000000</formula>
    </cfRule>
  </conditionalFormatting>
  <conditionalFormatting pivot="1" sqref="G3:G13">
    <cfRule type="expression" dxfId="23" priority="5">
      <formula>G3=400000000000000000000</formula>
    </cfRule>
  </conditionalFormatting>
  <conditionalFormatting pivot="1" sqref="AZ3">
    <cfRule type="expression" dxfId="22" priority="1">
      <formula>AZ3=4E+22%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Y12"/>
  <sheetViews>
    <sheetView workbookViewId="0">
      <selection activeCell="A2" sqref="A2:K61"/>
    </sheetView>
  </sheetViews>
  <sheetFormatPr defaultRowHeight="14.4" x14ac:dyDescent="0.3"/>
  <cols>
    <col min="1" max="1" width="15.21875" bestFit="1" customWidth="1"/>
    <col min="2" max="2" width="21.21875" bestFit="1" customWidth="1"/>
    <col min="3" max="3" width="12.5546875" bestFit="1" customWidth="1"/>
    <col min="4" max="4" width="17.21875" bestFit="1" customWidth="1"/>
    <col min="5" max="5" width="12.21875" bestFit="1" customWidth="1"/>
    <col min="6" max="6" width="9" bestFit="1" customWidth="1"/>
    <col min="7" max="7" width="12" bestFit="1" customWidth="1"/>
    <col min="8" max="8" width="22.33203125" bestFit="1" customWidth="1"/>
    <col min="9" max="10" width="12" bestFit="1" customWidth="1"/>
    <col min="11" max="11" width="21.33203125" bestFit="1" customWidth="1"/>
    <col min="12" max="12" width="48.109375" bestFit="1" customWidth="1"/>
    <col min="13" max="13" width="16.21875" bestFit="1" customWidth="1"/>
    <col min="14" max="14" width="19.109375" customWidth="1"/>
    <col min="15" max="15" width="17.109375" bestFit="1" customWidth="1"/>
    <col min="16" max="16" width="19.44140625" bestFit="1" customWidth="1"/>
    <col min="17" max="17" width="11.6640625" bestFit="1" customWidth="1"/>
    <col min="18" max="18" width="18.44140625" bestFit="1" customWidth="1"/>
    <col min="19" max="19" width="18.77734375" customWidth="1"/>
    <col min="20" max="20" width="17.44140625" customWidth="1"/>
    <col min="21" max="21" width="17.77734375" customWidth="1"/>
    <col min="22" max="22" width="28.44140625" bestFit="1" customWidth="1"/>
    <col min="23" max="23" width="20" bestFit="1" customWidth="1"/>
    <col min="24" max="24" width="22.77734375" bestFit="1" customWidth="1"/>
    <col min="25" max="25" width="21.33203125" bestFit="1" customWidth="1"/>
  </cols>
  <sheetData>
    <row r="1" spans="1:2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3">
      <c r="A2" t="s">
        <v>66</v>
      </c>
      <c r="B2" t="s">
        <v>69</v>
      </c>
      <c r="C2">
        <v>1</v>
      </c>
      <c r="D2" t="s">
        <v>70</v>
      </c>
      <c r="E2" t="s">
        <v>71</v>
      </c>
      <c r="F2" t="s">
        <v>72</v>
      </c>
      <c r="G2">
        <v>0</v>
      </c>
      <c r="H2">
        <v>0</v>
      </c>
      <c r="I2">
        <v>0</v>
      </c>
      <c r="J2">
        <v>0</v>
      </c>
      <c r="K2">
        <v>960</v>
      </c>
      <c r="L2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2">
        <f t="array" ref="M2">MAX(IF((ProjectInfoTable[ProjectName]=DiscreteStatsTable[[#This Row],[ProjectName]]),(ProjectInfoTable[ProjectName]=DiscreteStatsTable[[#This Row],[ProjectName]])*ProjectInfoTable[NumberOfReplications]))</f>
        <v>1</v>
      </c>
      <c r="N2">
        <f t="array" ref="N2">IFERROR(AVERAGE(IF((DiscreteStatsTable[GroupByKey]=DiscreteStatsTable[[#This Row],[GroupByKey]]),(DiscreteStatsTable[GroupByKey]=DiscreteStatsTable[[#This Row],[GroupByKey]])*DiscreteStatsTable[Average])),0)</f>
        <v>0</v>
      </c>
      <c r="O2" s="3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s="3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 s="3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" s="3">
        <f t="array" ref="R2">MIN(IF((DiscreteStatsTable[GroupByKey]=DiscreteStatsTable[[#This Row],[GroupByKey]]),(DiscreteStatsTable[GroupByKey]=DiscreteStatsTable[[#This Row],[GroupByKey]])*DiscreteStatsTable[Average]))</f>
        <v>0</v>
      </c>
      <c r="S2" s="3">
        <f t="array" ref="S2">MAX(IF((DiscreteStatsTable[GroupByKey]=DiscreteStatsTable[[#This Row],[GroupByKey]]),(DiscreteStatsTable[GroupByKey]=DiscreteStatsTable[[#This Row],[GroupByKey]])*DiscreteStatsTable[Average]))</f>
        <v>0</v>
      </c>
      <c r="T2" s="3">
        <f t="array" ref="T2">MIN(IF((DiscreteStatsTable[GroupByKey]=DiscreteStatsTable[[#This Row],[GroupByKey]]),(DiscreteStatsTable[GroupByKey]=DiscreteStatsTable[[#This Row],[GroupByKey]])*DiscreteStatsTable[Minimum]))</f>
        <v>0</v>
      </c>
      <c r="U2" s="3">
        <f t="array" ref="U2">MAX(IF((DiscreteStatsTable[GroupByKey]=DiscreteStatsTable[[#This Row],[GroupByKey]]),(DiscreteStatsTable[GroupByKey]=DiscreteStatsTable[[#This Row],[GroupByKey]])*DiscreteStatsTable[Maximum]))</f>
        <v>0</v>
      </c>
      <c r="V2" s="3">
        <f t="array" ref="V2">IFERROR(AVERAGE(IF((DiscreteStatsTable[GroupByKey]=DiscreteStatsTable[[#This Row],[GroupByKey]]),(DiscreteStatsTable[GroupByKey]=DiscreteStatsTable[[#This Row],[GroupByKey]])*DiscreteStatsTable[NumberObservations])),0)</f>
        <v>960</v>
      </c>
      <c r="W2" s="3">
        <f>IF((DiscreteStatsTable[[#This Row],[RepsRequested]]&gt;1),DiscreteStatsTable[[#This Row],[HalfWidth]],DiscreteStatsTable[[#This Row],[BatchMeansHalfWidth]])</f>
        <v>0</v>
      </c>
      <c r="X2" s="3">
        <f t="array" ref="X2">COUNT(IF((DiscreteStatsTable[GroupByKey]=DiscreteStatsTable[[#This Row],[GroupByKey]]),(DiscreteStatsTable[GroupByKey]=DiscreteStatsTable[[#This Row],[GroupByKey]])*DiscreteStatsTable[Replication]))</f>
        <v>1</v>
      </c>
      <c r="Y2" s="3">
        <f>IF(DiscreteStatsTable[[#This Row],[RepsRequested]]=DiscreteStatsTable[[#This Row],[RepsWithStatObserved]],1,0)</f>
        <v>1</v>
      </c>
    </row>
    <row r="3" spans="1:25" x14ac:dyDescent="0.3">
      <c r="A3" t="s">
        <v>66</v>
      </c>
      <c r="B3" t="s">
        <v>69</v>
      </c>
      <c r="C3">
        <v>1</v>
      </c>
      <c r="D3" t="s">
        <v>70</v>
      </c>
      <c r="E3" t="s">
        <v>73</v>
      </c>
      <c r="F3" t="s">
        <v>72</v>
      </c>
      <c r="G3">
        <v>0</v>
      </c>
      <c r="H3">
        <v>0</v>
      </c>
      <c r="I3">
        <v>0</v>
      </c>
      <c r="J3">
        <v>0</v>
      </c>
      <c r="K3">
        <v>960</v>
      </c>
      <c r="L3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3">
        <f t="array" ref="M3">MAX(IF((ProjectInfoTable[ProjectName]=DiscreteStatsTable[[#This Row],[ProjectName]]),(ProjectInfoTable[ProjectName]=DiscreteStatsTable[[#This Row],[ProjectName]])*ProjectInfoTable[NumberOfReplications]))</f>
        <v>1</v>
      </c>
      <c r="N3">
        <f t="array" ref="N3">IFERROR(AVERAGE(IF((DiscreteStatsTable[GroupByKey]=DiscreteStatsTable[[#This Row],[GroupByKey]]),(DiscreteStatsTable[GroupByKey]=DiscreteStatsTable[[#This Row],[GroupByKey]])*DiscreteStatsTable[Average])),0)</f>
        <v>0</v>
      </c>
      <c r="O3" s="3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 s="3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 s="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3" s="3">
        <f t="array" ref="R3">MIN(IF((DiscreteStatsTable[GroupByKey]=DiscreteStatsTable[[#This Row],[GroupByKey]]),(DiscreteStatsTable[GroupByKey]=DiscreteStatsTable[[#This Row],[GroupByKey]])*DiscreteStatsTable[Average]))</f>
        <v>0</v>
      </c>
      <c r="S3" s="3">
        <f t="array" ref="S3">MAX(IF((DiscreteStatsTable[GroupByKey]=DiscreteStatsTable[[#This Row],[GroupByKey]]),(DiscreteStatsTable[GroupByKey]=DiscreteStatsTable[[#This Row],[GroupByKey]])*DiscreteStatsTable[Average]))</f>
        <v>0</v>
      </c>
      <c r="T3" s="3">
        <f t="array" ref="T3">MIN(IF((DiscreteStatsTable[GroupByKey]=DiscreteStatsTable[[#This Row],[GroupByKey]]),(DiscreteStatsTable[GroupByKey]=DiscreteStatsTable[[#This Row],[GroupByKey]])*DiscreteStatsTable[Minimum]))</f>
        <v>0</v>
      </c>
      <c r="U3" s="3">
        <f t="array" ref="U3">MAX(IF((DiscreteStatsTable[GroupByKey]=DiscreteStatsTable[[#This Row],[GroupByKey]]),(DiscreteStatsTable[GroupByKey]=DiscreteStatsTable[[#This Row],[GroupByKey]])*DiscreteStatsTable[Maximum]))</f>
        <v>0</v>
      </c>
      <c r="V3" s="3">
        <f t="array" ref="V3">IFERROR(AVERAGE(IF((DiscreteStatsTable[GroupByKey]=DiscreteStatsTable[[#This Row],[GroupByKey]]),(DiscreteStatsTable[GroupByKey]=DiscreteStatsTable[[#This Row],[GroupByKey]])*DiscreteStatsTable[NumberObservations])),0)</f>
        <v>960</v>
      </c>
      <c r="W3" s="3">
        <f>IF((DiscreteStatsTable[[#This Row],[RepsRequested]]&gt;1),DiscreteStatsTable[[#This Row],[HalfWidth]],DiscreteStatsTable[[#This Row],[BatchMeansHalfWidth]])</f>
        <v>0</v>
      </c>
      <c r="X3" s="3">
        <f t="array" ref="X3">COUNT(IF((DiscreteStatsTable[GroupByKey]=DiscreteStatsTable[[#This Row],[GroupByKey]]),(DiscreteStatsTable[GroupByKey]=DiscreteStatsTable[[#This Row],[GroupByKey]])*DiscreteStatsTable[Replication]))</f>
        <v>1</v>
      </c>
      <c r="Y3" s="3">
        <f>IF(DiscreteStatsTable[[#This Row],[RepsRequested]]=DiscreteStatsTable[[#This Row],[RepsWithStatObserved]],1,0)</f>
        <v>1</v>
      </c>
    </row>
    <row r="4" spans="1:25" x14ac:dyDescent="0.3">
      <c r="A4" t="s">
        <v>66</v>
      </c>
      <c r="B4" t="s">
        <v>69</v>
      </c>
      <c r="C4">
        <v>1</v>
      </c>
      <c r="D4" t="s">
        <v>70</v>
      </c>
      <c r="E4" t="s">
        <v>74</v>
      </c>
      <c r="F4" t="s">
        <v>72</v>
      </c>
      <c r="G4">
        <v>40.9096743279826</v>
      </c>
      <c r="H4">
        <v>3E+20</v>
      </c>
      <c r="I4">
        <v>1.8089357453842301E-2</v>
      </c>
      <c r="J4">
        <v>501.115279158357</v>
      </c>
      <c r="K4">
        <v>960</v>
      </c>
      <c r="L4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4">
        <f t="array" ref="M4">MAX(IF((ProjectInfoTable[ProjectName]=DiscreteStatsTable[[#This Row],[ProjectName]]),(ProjectInfoTable[ProjectName]=DiscreteStatsTable[[#This Row],[ProjectName]])*ProjectInfoTable[NumberOfReplications]))</f>
        <v>1</v>
      </c>
      <c r="N4">
        <f t="array" ref="N4">IFERROR(AVERAGE(IF((DiscreteStatsTable[GroupByKey]=DiscreteStatsTable[[#This Row],[GroupByKey]]),(DiscreteStatsTable[GroupByKey]=DiscreteStatsTable[[#This Row],[GroupByKey]])*DiscreteStatsTable[Average])),0)</f>
        <v>40.9096743279826</v>
      </c>
      <c r="O4" s="3">
        <f t="array" ref="O4">IFERROR(_xlfn.STDEV.S(IF((DiscreteStatsTable[GroupByKey]=DiscreteStatsTable[[#This Row],[GroupByKey]]),(DiscreteStatsTable[GroupByKey]=DiscreteStatsTable[[#This Row],[GroupByKey]])*DiscreteStatsTable[Average])),0)</f>
        <v>0</v>
      </c>
      <c r="P4" s="3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 s="3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4" s="3">
        <f t="array" ref="R4">MIN(IF((DiscreteStatsTable[GroupByKey]=DiscreteStatsTable[[#This Row],[GroupByKey]]),(DiscreteStatsTable[GroupByKey]=DiscreteStatsTable[[#This Row],[GroupByKey]])*DiscreteStatsTable[Average]))</f>
        <v>40.9096743279826</v>
      </c>
      <c r="S4" s="3">
        <f t="array" ref="S4">MAX(IF((DiscreteStatsTable[GroupByKey]=DiscreteStatsTable[[#This Row],[GroupByKey]]),(DiscreteStatsTable[GroupByKey]=DiscreteStatsTable[[#This Row],[GroupByKey]])*DiscreteStatsTable[Average]))</f>
        <v>40.9096743279826</v>
      </c>
      <c r="T4" s="3">
        <f t="array" ref="T4">MIN(IF((DiscreteStatsTable[GroupByKey]=DiscreteStatsTable[[#This Row],[GroupByKey]]),(DiscreteStatsTable[GroupByKey]=DiscreteStatsTable[[#This Row],[GroupByKey]])*DiscreteStatsTable[Minimum]))</f>
        <v>1.8089357453842301E-2</v>
      </c>
      <c r="U4" s="3">
        <f t="array" ref="U4">MAX(IF((DiscreteStatsTable[GroupByKey]=DiscreteStatsTable[[#This Row],[GroupByKey]]),(DiscreteStatsTable[GroupByKey]=DiscreteStatsTable[[#This Row],[GroupByKey]])*DiscreteStatsTable[Maximum]))</f>
        <v>501.115279158357</v>
      </c>
      <c r="V4" s="3">
        <f t="array" ref="V4">IFERROR(AVERAGE(IF((DiscreteStatsTable[GroupByKey]=DiscreteStatsTable[[#This Row],[GroupByKey]]),(DiscreteStatsTable[GroupByKey]=DiscreteStatsTable[[#This Row],[GroupByKey]])*DiscreteStatsTable[NumberObservations])),0)</f>
        <v>960</v>
      </c>
      <c r="W4" s="3">
        <f>IF((DiscreteStatsTable[[#This Row],[RepsRequested]]&gt;1),DiscreteStatsTable[[#This Row],[HalfWidth]],DiscreteStatsTable[[#This Row],[BatchMeansHalfWidth]])</f>
        <v>3E+20</v>
      </c>
      <c r="X4" s="3">
        <f t="array" ref="X4">COUNT(IF((DiscreteStatsTable[GroupByKey]=DiscreteStatsTable[[#This Row],[GroupByKey]]),(DiscreteStatsTable[GroupByKey]=DiscreteStatsTable[[#This Row],[GroupByKey]])*DiscreteStatsTable[Replication]))</f>
        <v>1</v>
      </c>
      <c r="Y4" s="3">
        <f>IF(DiscreteStatsTable[[#This Row],[RepsRequested]]=DiscreteStatsTable[[#This Row],[RepsWithStatObserved]],1,0)</f>
        <v>1</v>
      </c>
    </row>
    <row r="5" spans="1:25" x14ac:dyDescent="0.3">
      <c r="A5" t="s">
        <v>66</v>
      </c>
      <c r="B5" t="s">
        <v>69</v>
      </c>
      <c r="C5">
        <v>1</v>
      </c>
      <c r="D5" t="s">
        <v>70</v>
      </c>
      <c r="E5" t="s">
        <v>75</v>
      </c>
      <c r="F5" t="s">
        <v>72</v>
      </c>
      <c r="G5">
        <v>0</v>
      </c>
      <c r="H5">
        <v>0</v>
      </c>
      <c r="I5">
        <v>0</v>
      </c>
      <c r="J5">
        <v>0</v>
      </c>
      <c r="K5">
        <v>960</v>
      </c>
      <c r="L5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5">
        <f t="array" ref="M5">MAX(IF((ProjectInfoTable[ProjectName]=DiscreteStatsTable[[#This Row],[ProjectName]]),(ProjectInfoTable[ProjectName]=DiscreteStatsTable[[#This Row],[ProjectName]])*ProjectInfoTable[NumberOfReplications]))</f>
        <v>1</v>
      </c>
      <c r="N5">
        <f t="array" ref="N5">IFERROR(AVERAGE(IF((DiscreteStatsTable[GroupByKey]=DiscreteStatsTable[[#This Row],[GroupByKey]]),(DiscreteStatsTable[GroupByKey]=DiscreteStatsTable[[#This Row],[GroupByKey]])*DiscreteStatsTable[Average])),0)</f>
        <v>0</v>
      </c>
      <c r="O5" s="3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 s="3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 s="3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5" s="3">
        <f t="array" ref="R5">MIN(IF((DiscreteStatsTable[GroupByKey]=DiscreteStatsTable[[#This Row],[GroupByKey]]),(DiscreteStatsTable[GroupByKey]=DiscreteStatsTable[[#This Row],[GroupByKey]])*DiscreteStatsTable[Average]))</f>
        <v>0</v>
      </c>
      <c r="S5" s="3">
        <f t="array" ref="S5">MAX(IF((DiscreteStatsTable[GroupByKey]=DiscreteStatsTable[[#This Row],[GroupByKey]]),(DiscreteStatsTable[GroupByKey]=DiscreteStatsTable[[#This Row],[GroupByKey]])*DiscreteStatsTable[Average]))</f>
        <v>0</v>
      </c>
      <c r="T5" s="3">
        <f t="array" ref="T5">MIN(IF((DiscreteStatsTable[GroupByKey]=DiscreteStatsTable[[#This Row],[GroupByKey]]),(DiscreteStatsTable[GroupByKey]=DiscreteStatsTable[[#This Row],[GroupByKey]])*DiscreteStatsTable[Minimum]))</f>
        <v>0</v>
      </c>
      <c r="U5" s="3">
        <f t="array" ref="U5">MAX(IF((DiscreteStatsTable[GroupByKey]=DiscreteStatsTable[[#This Row],[GroupByKey]]),(DiscreteStatsTable[GroupByKey]=DiscreteStatsTable[[#This Row],[GroupByKey]])*DiscreteStatsTable[Maximum]))</f>
        <v>0</v>
      </c>
      <c r="V5" s="3">
        <f t="array" ref="V5">IFERROR(AVERAGE(IF((DiscreteStatsTable[GroupByKey]=DiscreteStatsTable[[#This Row],[GroupByKey]]),(DiscreteStatsTable[GroupByKey]=DiscreteStatsTable[[#This Row],[GroupByKey]])*DiscreteStatsTable[NumberObservations])),0)</f>
        <v>960</v>
      </c>
      <c r="W5" s="3">
        <f>IF((DiscreteStatsTable[[#This Row],[RepsRequested]]&gt;1),DiscreteStatsTable[[#This Row],[HalfWidth]],DiscreteStatsTable[[#This Row],[BatchMeansHalfWidth]])</f>
        <v>0</v>
      </c>
      <c r="X5" s="3">
        <f t="array" ref="X5">COUNT(IF((DiscreteStatsTable[GroupByKey]=DiscreteStatsTable[[#This Row],[GroupByKey]]),(DiscreteStatsTable[GroupByKey]=DiscreteStatsTable[[#This Row],[GroupByKey]])*DiscreteStatsTable[Replication]))</f>
        <v>1</v>
      </c>
      <c r="Y5" s="3">
        <f>IF(DiscreteStatsTable[[#This Row],[RepsRequested]]=DiscreteStatsTable[[#This Row],[RepsWithStatObserved]],1,0)</f>
        <v>1</v>
      </c>
    </row>
    <row r="6" spans="1:25" x14ac:dyDescent="0.3">
      <c r="A6" t="s">
        <v>66</v>
      </c>
      <c r="B6" t="s">
        <v>69</v>
      </c>
      <c r="C6">
        <v>1</v>
      </c>
      <c r="D6" t="s">
        <v>70</v>
      </c>
      <c r="E6" t="s">
        <v>76</v>
      </c>
      <c r="F6" t="s">
        <v>72</v>
      </c>
      <c r="G6">
        <v>40.9096743279826</v>
      </c>
      <c r="H6">
        <v>3E+20</v>
      </c>
      <c r="I6">
        <v>1.8089357453842301E-2</v>
      </c>
      <c r="J6">
        <v>501.115279158357</v>
      </c>
      <c r="K6">
        <v>960</v>
      </c>
      <c r="L6" s="3" t="str">
        <f>DiscreteStatsTable[[#This Row],[ProjectName]]&amp;DiscreteStatsTable[[#This Row],[Name]]&amp;DiscreteStatsTable[[#This Row],[Type]]&amp;DiscreteStatsTable[[#This Row],[Source]]</f>
        <v>Unnamed ProjectEntity 1VA TimeEntity</v>
      </c>
      <c r="M6" s="3">
        <f t="array" ref="M6">MAX(IF((ProjectInfoTable[ProjectName]=DiscreteStatsTable[[#This Row],[ProjectName]]),(ProjectInfoTable[ProjectName]=DiscreteStatsTable[[#This Row],[ProjectName]])*ProjectInfoTable[NumberOfReplications]))</f>
        <v>1</v>
      </c>
      <c r="N6" s="3">
        <f t="array" ref="N6">IFERROR(AVERAGE(IF((DiscreteStatsTable[GroupByKey]=DiscreteStatsTable[[#This Row],[GroupByKey]]),(DiscreteStatsTable[GroupByKey]=DiscreteStatsTable[[#This Row],[GroupByKey]])*DiscreteStatsTable[Average])),0)</f>
        <v>40.9096743279826</v>
      </c>
      <c r="O6" s="3">
        <f t="array" ref="O6">IFERROR(_xlfn.STDEV.S(IF((DiscreteStatsTable[GroupByKey]=DiscreteStatsTable[[#This Row],[GroupByKey]]),(DiscreteStatsTable[GroupByKey]=DiscreteStatsTable[[#This Row],[GroupByKey]])*DiscreteStatsTable[Average])),0)</f>
        <v>0</v>
      </c>
      <c r="P6" s="3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 s="3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6" s="3">
        <f t="array" ref="R6">MIN(IF((DiscreteStatsTable[GroupByKey]=DiscreteStatsTable[[#This Row],[GroupByKey]]),(DiscreteStatsTable[GroupByKey]=DiscreteStatsTable[[#This Row],[GroupByKey]])*DiscreteStatsTable[Average]))</f>
        <v>40.9096743279826</v>
      </c>
      <c r="S6" s="3">
        <f t="array" ref="S6">MAX(IF((DiscreteStatsTable[GroupByKey]=DiscreteStatsTable[[#This Row],[GroupByKey]]),(DiscreteStatsTable[GroupByKey]=DiscreteStatsTable[[#This Row],[GroupByKey]])*DiscreteStatsTable[Average]))</f>
        <v>40.9096743279826</v>
      </c>
      <c r="T6" s="3">
        <f t="array" ref="T6">MIN(IF((DiscreteStatsTable[GroupByKey]=DiscreteStatsTable[[#This Row],[GroupByKey]]),(DiscreteStatsTable[GroupByKey]=DiscreteStatsTable[[#This Row],[GroupByKey]])*DiscreteStatsTable[Minimum]))</f>
        <v>1.8089357453842301E-2</v>
      </c>
      <c r="U6" s="3">
        <f t="array" ref="U6">MAX(IF((DiscreteStatsTable[GroupByKey]=DiscreteStatsTable[[#This Row],[GroupByKey]]),(DiscreteStatsTable[GroupByKey]=DiscreteStatsTable[[#This Row],[GroupByKey]])*DiscreteStatsTable[Maximum]))</f>
        <v>501.115279158357</v>
      </c>
      <c r="V6" s="3">
        <f t="array" ref="V6">IFERROR(AVERAGE(IF((DiscreteStatsTable[GroupByKey]=DiscreteStatsTable[[#This Row],[GroupByKey]]),(DiscreteStatsTable[GroupByKey]=DiscreteStatsTable[[#This Row],[GroupByKey]])*DiscreteStatsTable[NumberObservations])),0)</f>
        <v>960</v>
      </c>
      <c r="W6" s="3">
        <f>IF((DiscreteStatsTable[[#This Row],[RepsRequested]]&gt;1),DiscreteStatsTable[[#This Row],[HalfWidth]],DiscreteStatsTable[[#This Row],[BatchMeansHalfWidth]])</f>
        <v>3E+20</v>
      </c>
      <c r="X6" s="3">
        <f t="array" ref="X6">COUNT(IF((DiscreteStatsTable[GroupByKey]=DiscreteStatsTable[[#This Row],[GroupByKey]]),(DiscreteStatsTable[GroupByKey]=DiscreteStatsTable[[#This Row],[GroupByKey]])*DiscreteStatsTable[Replication]))</f>
        <v>1</v>
      </c>
      <c r="Y6" s="3">
        <f>IF(DiscreteStatsTable[[#This Row],[RepsRequested]]=DiscreteStatsTable[[#This Row],[RepsWithStatObserved]],1,0)</f>
        <v>1</v>
      </c>
    </row>
    <row r="7" spans="1:25" x14ac:dyDescent="0.3">
      <c r="A7" t="s">
        <v>66</v>
      </c>
      <c r="B7" t="s">
        <v>69</v>
      </c>
      <c r="C7">
        <v>1</v>
      </c>
      <c r="D7" t="s">
        <v>70</v>
      </c>
      <c r="E7" t="s">
        <v>77</v>
      </c>
      <c r="F7" t="s">
        <v>72</v>
      </c>
      <c r="G7">
        <v>0</v>
      </c>
      <c r="H7">
        <v>0</v>
      </c>
      <c r="I7">
        <v>0</v>
      </c>
      <c r="J7">
        <v>0</v>
      </c>
      <c r="K7">
        <v>960</v>
      </c>
      <c r="L7" s="3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7" s="3">
        <f t="array" ref="M7">MAX(IF((ProjectInfoTable[ProjectName]=DiscreteStatsTable[[#This Row],[ProjectName]]),(ProjectInfoTable[ProjectName]=DiscreteStatsTable[[#This Row],[ProjectName]])*ProjectInfoTable[NumberOfReplications]))</f>
        <v>1</v>
      </c>
      <c r="N7" s="3">
        <f t="array" ref="N7">IFERROR(AVERAGE(IF((DiscreteStatsTable[GroupByKey]=DiscreteStatsTable[[#This Row],[GroupByKey]]),(DiscreteStatsTable[GroupByKey]=DiscreteStatsTable[[#This Row],[GroupByKey]])*DiscreteStatsTable[Average])),0)</f>
        <v>0</v>
      </c>
      <c r="O7" s="3">
        <f t="array" ref="O7">IFERROR(_xlfn.STDEV.S(IF((DiscreteStatsTable[GroupByKey]=DiscreteStatsTable[[#This Row],[GroupByKey]]),(DiscreteStatsTable[GroupByKey]=DiscreteStatsTable[[#This Row],[GroupByKey]])*DiscreteStatsTable[Average])),0)</f>
        <v>0</v>
      </c>
      <c r="P7" s="3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 s="3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7" s="3">
        <f t="array" ref="R7">MIN(IF((DiscreteStatsTable[GroupByKey]=DiscreteStatsTable[[#This Row],[GroupByKey]]),(DiscreteStatsTable[GroupByKey]=DiscreteStatsTable[[#This Row],[GroupByKey]])*DiscreteStatsTable[Average]))</f>
        <v>0</v>
      </c>
      <c r="S7" s="3">
        <f t="array" ref="S7">MAX(IF((DiscreteStatsTable[GroupByKey]=DiscreteStatsTable[[#This Row],[GroupByKey]]),(DiscreteStatsTable[GroupByKey]=DiscreteStatsTable[[#This Row],[GroupByKey]])*DiscreteStatsTable[Average]))</f>
        <v>0</v>
      </c>
      <c r="T7" s="3">
        <f t="array" ref="T7">MIN(IF((DiscreteStatsTable[GroupByKey]=DiscreteStatsTable[[#This Row],[GroupByKey]]),(DiscreteStatsTable[GroupByKey]=DiscreteStatsTable[[#This Row],[GroupByKey]])*DiscreteStatsTable[Minimum]))</f>
        <v>0</v>
      </c>
      <c r="U7" s="3">
        <f t="array" ref="U7">MAX(IF((DiscreteStatsTable[GroupByKey]=DiscreteStatsTable[[#This Row],[GroupByKey]]),(DiscreteStatsTable[GroupByKey]=DiscreteStatsTable[[#This Row],[GroupByKey]])*DiscreteStatsTable[Maximum]))</f>
        <v>0</v>
      </c>
      <c r="V7" s="3">
        <f t="array" ref="V7">IFERROR(AVERAGE(IF((DiscreteStatsTable[GroupByKey]=DiscreteStatsTable[[#This Row],[GroupByKey]]),(DiscreteStatsTable[GroupByKey]=DiscreteStatsTable[[#This Row],[GroupByKey]])*DiscreteStatsTable[NumberObservations])),0)</f>
        <v>960</v>
      </c>
      <c r="W7" s="3">
        <f>IF((DiscreteStatsTable[[#This Row],[RepsRequested]]&gt;1),DiscreteStatsTable[[#This Row],[HalfWidth]],DiscreteStatsTable[[#This Row],[BatchMeansHalfWidth]])</f>
        <v>0</v>
      </c>
      <c r="X7" s="3">
        <f t="array" ref="X7">COUNT(IF((DiscreteStatsTable[GroupByKey]=DiscreteStatsTable[[#This Row],[GroupByKey]]),(DiscreteStatsTable[GroupByKey]=DiscreteStatsTable[[#This Row],[GroupByKey]])*DiscreteStatsTable[Replication]))</f>
        <v>1</v>
      </c>
      <c r="Y7" s="3">
        <f>IF(DiscreteStatsTable[[#This Row],[RepsRequested]]=DiscreteStatsTable[[#This Row],[RepsWithStatObserved]],1,0)</f>
        <v>1</v>
      </c>
    </row>
    <row r="8" spans="1:25" x14ac:dyDescent="0.3">
      <c r="A8" t="s">
        <v>66</v>
      </c>
      <c r="B8" t="s">
        <v>69</v>
      </c>
      <c r="C8">
        <v>1</v>
      </c>
      <c r="D8" t="s">
        <v>78</v>
      </c>
      <c r="E8" t="s">
        <v>79</v>
      </c>
      <c r="F8" t="s">
        <v>80</v>
      </c>
      <c r="G8">
        <v>0</v>
      </c>
      <c r="H8">
        <v>2E+20</v>
      </c>
      <c r="I8">
        <v>0</v>
      </c>
      <c r="J8">
        <v>0</v>
      </c>
      <c r="K8">
        <v>227</v>
      </c>
      <c r="L8" s="3" t="str">
        <f>DiscreteStatsTable[[#This Row],[ProjectName]]&amp;DiscreteStatsTable[[#This Row],[Name]]&amp;DiscreteStatsTable[[#This Row],[Type]]&amp;DiscreteStatsTable[[#This Row],[Source]]</f>
        <v>Unnamed ProjectSubProcess1.QueueWaiting TimeQueue</v>
      </c>
      <c r="M8" s="3">
        <f t="array" ref="M8">MAX(IF((ProjectInfoTable[ProjectName]=DiscreteStatsTable[[#This Row],[ProjectName]]),(ProjectInfoTable[ProjectName]=DiscreteStatsTable[[#This Row],[ProjectName]])*ProjectInfoTable[NumberOfReplications]))</f>
        <v>1</v>
      </c>
      <c r="N8" s="3">
        <f t="array" ref="N8">IFERROR(AVERAGE(IF((DiscreteStatsTable[GroupByKey]=DiscreteStatsTable[[#This Row],[GroupByKey]]),(DiscreteStatsTable[GroupByKey]=DiscreteStatsTable[[#This Row],[GroupByKey]])*DiscreteStatsTable[Average])),0)</f>
        <v>0</v>
      </c>
      <c r="O8" s="3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s="3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 s="3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8" s="3">
        <f t="array" ref="R8">MIN(IF((DiscreteStatsTable[GroupByKey]=DiscreteStatsTable[[#This Row],[GroupByKey]]),(DiscreteStatsTable[GroupByKey]=DiscreteStatsTable[[#This Row],[GroupByKey]])*DiscreteStatsTable[Average]))</f>
        <v>0</v>
      </c>
      <c r="S8" s="3">
        <f t="array" ref="S8">MAX(IF((DiscreteStatsTable[GroupByKey]=DiscreteStatsTable[[#This Row],[GroupByKey]]),(DiscreteStatsTable[GroupByKey]=DiscreteStatsTable[[#This Row],[GroupByKey]])*DiscreteStatsTable[Average]))</f>
        <v>0</v>
      </c>
      <c r="T8" s="3">
        <f t="array" ref="T8">MIN(IF((DiscreteStatsTable[GroupByKey]=DiscreteStatsTable[[#This Row],[GroupByKey]]),(DiscreteStatsTable[GroupByKey]=DiscreteStatsTable[[#This Row],[GroupByKey]])*DiscreteStatsTable[Minimum]))</f>
        <v>0</v>
      </c>
      <c r="U8" s="3">
        <f t="array" ref="U8">MAX(IF((DiscreteStatsTable[GroupByKey]=DiscreteStatsTable[[#This Row],[GroupByKey]]),(DiscreteStatsTable[GroupByKey]=DiscreteStatsTable[[#This Row],[GroupByKey]])*DiscreteStatsTable[Maximum]))</f>
        <v>0</v>
      </c>
      <c r="V8" s="3">
        <f t="array" ref="V8">IFERROR(AVERAGE(IF((DiscreteStatsTable[GroupByKey]=DiscreteStatsTable[[#This Row],[GroupByKey]]),(DiscreteStatsTable[GroupByKey]=DiscreteStatsTable[[#This Row],[GroupByKey]])*DiscreteStatsTable[NumberObservations])),0)</f>
        <v>227</v>
      </c>
      <c r="W8" s="3">
        <f>IF((DiscreteStatsTable[[#This Row],[RepsRequested]]&gt;1),DiscreteStatsTable[[#This Row],[HalfWidth]],DiscreteStatsTable[[#This Row],[BatchMeansHalfWidth]])</f>
        <v>2E+20</v>
      </c>
      <c r="X8" s="3">
        <f t="array" ref="X8">COUNT(IF((DiscreteStatsTable[GroupByKey]=DiscreteStatsTable[[#This Row],[GroupByKey]]),(DiscreteStatsTable[GroupByKey]=DiscreteStatsTable[[#This Row],[GroupByKey]])*DiscreteStatsTable[Replication]))</f>
        <v>1</v>
      </c>
      <c r="Y8" s="3">
        <f>IF(DiscreteStatsTable[[#This Row],[RepsRequested]]=DiscreteStatsTable[[#This Row],[RepsWithStatObserved]],1,0)</f>
        <v>1</v>
      </c>
    </row>
    <row r="9" spans="1:25" x14ac:dyDescent="0.3">
      <c r="A9" t="s">
        <v>66</v>
      </c>
      <c r="B9" t="s">
        <v>69</v>
      </c>
      <c r="C9">
        <v>1</v>
      </c>
      <c r="D9" t="s">
        <v>81</v>
      </c>
      <c r="E9" t="s">
        <v>79</v>
      </c>
      <c r="F9" t="s">
        <v>80</v>
      </c>
      <c r="G9">
        <v>0</v>
      </c>
      <c r="H9">
        <v>2E+20</v>
      </c>
      <c r="I9">
        <v>0</v>
      </c>
      <c r="J9">
        <v>0</v>
      </c>
      <c r="K9">
        <v>196</v>
      </c>
      <c r="L9" s="3" t="str">
        <f>DiscreteStatsTable[[#This Row],[ProjectName]]&amp;DiscreteStatsTable[[#This Row],[Name]]&amp;DiscreteStatsTable[[#This Row],[Type]]&amp;DiscreteStatsTable[[#This Row],[Source]]</f>
        <v>Unnamed ProjectSubProcess2.QueueWaiting TimeQueue</v>
      </c>
      <c r="M9" s="3">
        <f t="array" ref="M9">MAX(IF((ProjectInfoTable[ProjectName]=DiscreteStatsTable[[#This Row],[ProjectName]]),(ProjectInfoTable[ProjectName]=DiscreteStatsTable[[#This Row],[ProjectName]])*ProjectInfoTable[NumberOfReplications]))</f>
        <v>1</v>
      </c>
      <c r="N9" s="3">
        <f t="array" ref="N9">IFERROR(AVERAGE(IF((DiscreteStatsTable[GroupByKey]=DiscreteStatsTable[[#This Row],[GroupByKey]]),(DiscreteStatsTable[GroupByKey]=DiscreteStatsTable[[#This Row],[GroupByKey]])*DiscreteStatsTable[Average])),0)</f>
        <v>0</v>
      </c>
      <c r="O9" s="3">
        <f t="array" ref="O9">IFERROR(_xlfn.STDEV.S(IF((DiscreteStatsTable[GroupByKey]=DiscreteStatsTable[[#This Row],[GroupByKey]]),(DiscreteStatsTable[GroupByKey]=DiscreteStatsTable[[#This Row],[GroupByKey]])*DiscreteStatsTable[Average])),0)</f>
        <v>0</v>
      </c>
      <c r="P9" s="3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 s="3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9" s="3">
        <f t="array" ref="R9">MIN(IF((DiscreteStatsTable[GroupByKey]=DiscreteStatsTable[[#This Row],[GroupByKey]]),(DiscreteStatsTable[GroupByKey]=DiscreteStatsTable[[#This Row],[GroupByKey]])*DiscreteStatsTable[Average]))</f>
        <v>0</v>
      </c>
      <c r="S9" s="3">
        <f t="array" ref="S9">MAX(IF((DiscreteStatsTable[GroupByKey]=DiscreteStatsTable[[#This Row],[GroupByKey]]),(DiscreteStatsTable[GroupByKey]=DiscreteStatsTable[[#This Row],[GroupByKey]])*DiscreteStatsTable[Average]))</f>
        <v>0</v>
      </c>
      <c r="T9" s="3">
        <f t="array" ref="T9">MIN(IF((DiscreteStatsTable[GroupByKey]=DiscreteStatsTable[[#This Row],[GroupByKey]]),(DiscreteStatsTable[GroupByKey]=DiscreteStatsTable[[#This Row],[GroupByKey]])*DiscreteStatsTable[Minimum]))</f>
        <v>0</v>
      </c>
      <c r="U9" s="3">
        <f t="array" ref="U9">MAX(IF((DiscreteStatsTable[GroupByKey]=DiscreteStatsTable[[#This Row],[GroupByKey]]),(DiscreteStatsTable[GroupByKey]=DiscreteStatsTable[[#This Row],[GroupByKey]])*DiscreteStatsTable[Maximum]))</f>
        <v>0</v>
      </c>
      <c r="V9" s="3">
        <f t="array" ref="V9">IFERROR(AVERAGE(IF((DiscreteStatsTable[GroupByKey]=DiscreteStatsTable[[#This Row],[GroupByKey]]),(DiscreteStatsTable[GroupByKey]=DiscreteStatsTable[[#This Row],[GroupByKey]])*DiscreteStatsTable[NumberObservations])),0)</f>
        <v>196</v>
      </c>
      <c r="W9" s="3">
        <f>IF((DiscreteStatsTable[[#This Row],[RepsRequested]]&gt;1),DiscreteStatsTable[[#This Row],[HalfWidth]],DiscreteStatsTable[[#This Row],[BatchMeansHalfWidth]])</f>
        <v>2E+20</v>
      </c>
      <c r="X9" s="3">
        <f t="array" ref="X9">COUNT(IF((DiscreteStatsTable[GroupByKey]=DiscreteStatsTable[[#This Row],[GroupByKey]]),(DiscreteStatsTable[GroupByKey]=DiscreteStatsTable[[#This Row],[GroupByKey]])*DiscreteStatsTable[Replication]))</f>
        <v>1</v>
      </c>
      <c r="Y9" s="3">
        <f>IF(DiscreteStatsTable[[#This Row],[RepsRequested]]=DiscreteStatsTable[[#This Row],[RepsWithStatObserved]],1,0)</f>
        <v>1</v>
      </c>
    </row>
    <row r="10" spans="1:25" x14ac:dyDescent="0.3">
      <c r="A10" t="s">
        <v>66</v>
      </c>
      <c r="B10" t="s">
        <v>69</v>
      </c>
      <c r="C10">
        <v>1</v>
      </c>
      <c r="D10" t="s">
        <v>82</v>
      </c>
      <c r="E10" t="s">
        <v>79</v>
      </c>
      <c r="F10" t="s">
        <v>80</v>
      </c>
      <c r="G10">
        <v>0</v>
      </c>
      <c r="H10">
        <v>2E+20</v>
      </c>
      <c r="I10">
        <v>0</v>
      </c>
      <c r="J10">
        <v>0</v>
      </c>
      <c r="K10">
        <v>185</v>
      </c>
      <c r="L10" s="3" t="str">
        <f>DiscreteStatsTable[[#This Row],[ProjectName]]&amp;DiscreteStatsTable[[#This Row],[Name]]&amp;DiscreteStatsTable[[#This Row],[Type]]&amp;DiscreteStatsTable[[#This Row],[Source]]</f>
        <v>Unnamed ProjectSubProcess3.QueueWaiting TimeQueue</v>
      </c>
      <c r="M10" s="3">
        <f t="array" ref="M10">MAX(IF((ProjectInfoTable[ProjectName]=DiscreteStatsTable[[#This Row],[ProjectName]]),(ProjectInfoTable[ProjectName]=DiscreteStatsTable[[#This Row],[ProjectName]])*ProjectInfoTable[NumberOfReplications]))</f>
        <v>1</v>
      </c>
      <c r="N10" s="3">
        <f t="array" ref="N10">IFERROR(AVERAGE(IF((DiscreteStatsTable[GroupByKey]=DiscreteStatsTable[[#This Row],[GroupByKey]]),(DiscreteStatsTable[GroupByKey]=DiscreteStatsTable[[#This Row],[GroupByKey]])*DiscreteStatsTable[Average])),0)</f>
        <v>0</v>
      </c>
      <c r="O10" s="3">
        <f t="array" ref="O10">IFERROR(_xlfn.STDEV.S(IF((DiscreteStatsTable[GroupByKey]=DiscreteStatsTable[[#This Row],[GroupByKey]]),(DiscreteStatsTable[GroupByKey]=DiscreteStatsTable[[#This Row],[GroupByKey]])*DiscreteStatsTable[Average])),0)</f>
        <v>0</v>
      </c>
      <c r="P10" s="3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 s="3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0" s="3">
        <f t="array" ref="R10">MIN(IF((DiscreteStatsTable[GroupByKey]=DiscreteStatsTable[[#This Row],[GroupByKey]]),(DiscreteStatsTable[GroupByKey]=DiscreteStatsTable[[#This Row],[GroupByKey]])*DiscreteStatsTable[Average]))</f>
        <v>0</v>
      </c>
      <c r="S10" s="3">
        <f t="array" ref="S10">MAX(IF((DiscreteStatsTable[GroupByKey]=DiscreteStatsTable[[#This Row],[GroupByKey]]),(DiscreteStatsTable[GroupByKey]=DiscreteStatsTable[[#This Row],[GroupByKey]])*DiscreteStatsTable[Average]))</f>
        <v>0</v>
      </c>
      <c r="T10" s="3">
        <f t="array" ref="T10">MIN(IF((DiscreteStatsTable[GroupByKey]=DiscreteStatsTable[[#This Row],[GroupByKey]]),(DiscreteStatsTable[GroupByKey]=DiscreteStatsTable[[#This Row],[GroupByKey]])*DiscreteStatsTable[Minimum]))</f>
        <v>0</v>
      </c>
      <c r="U10" s="3">
        <f t="array" ref="U10">MAX(IF((DiscreteStatsTable[GroupByKey]=DiscreteStatsTable[[#This Row],[GroupByKey]]),(DiscreteStatsTable[GroupByKey]=DiscreteStatsTable[[#This Row],[GroupByKey]])*DiscreteStatsTable[Maximum]))</f>
        <v>0</v>
      </c>
      <c r="V10" s="3">
        <f t="array" ref="V10">IFERROR(AVERAGE(IF((DiscreteStatsTable[GroupByKey]=DiscreteStatsTable[[#This Row],[GroupByKey]]),(DiscreteStatsTable[GroupByKey]=DiscreteStatsTable[[#This Row],[GroupByKey]])*DiscreteStatsTable[NumberObservations])),0)</f>
        <v>185</v>
      </c>
      <c r="W10" s="3">
        <f>IF((DiscreteStatsTable[[#This Row],[RepsRequested]]&gt;1),DiscreteStatsTable[[#This Row],[HalfWidth]],DiscreteStatsTable[[#This Row],[BatchMeansHalfWidth]])</f>
        <v>2E+20</v>
      </c>
      <c r="X10" s="3">
        <f t="array" ref="X10">COUNT(IF((DiscreteStatsTable[GroupByKey]=DiscreteStatsTable[[#This Row],[GroupByKey]]),(DiscreteStatsTable[GroupByKey]=DiscreteStatsTable[[#This Row],[GroupByKey]])*DiscreteStatsTable[Replication]))</f>
        <v>1</v>
      </c>
      <c r="Y10" s="3">
        <f>IF(DiscreteStatsTable[[#This Row],[RepsRequested]]=DiscreteStatsTable[[#This Row],[RepsWithStatObserved]],1,0)</f>
        <v>1</v>
      </c>
    </row>
    <row r="11" spans="1:25" x14ac:dyDescent="0.3">
      <c r="A11" t="s">
        <v>66</v>
      </c>
      <c r="B11" t="s">
        <v>69</v>
      </c>
      <c r="C11">
        <v>1</v>
      </c>
      <c r="D11" t="s">
        <v>83</v>
      </c>
      <c r="E11" t="s">
        <v>79</v>
      </c>
      <c r="F11" t="s">
        <v>80</v>
      </c>
      <c r="G11">
        <v>0</v>
      </c>
      <c r="H11">
        <v>2E+20</v>
      </c>
      <c r="I11">
        <v>0</v>
      </c>
      <c r="J11">
        <v>0</v>
      </c>
      <c r="K11">
        <v>188</v>
      </c>
      <c r="L11" s="3" t="str">
        <f>DiscreteStatsTable[[#This Row],[ProjectName]]&amp;DiscreteStatsTable[[#This Row],[Name]]&amp;DiscreteStatsTable[[#This Row],[Type]]&amp;DiscreteStatsTable[[#This Row],[Source]]</f>
        <v>Unnamed ProjectSubProcess4.QueueWaiting TimeQueue</v>
      </c>
      <c r="M11" s="3">
        <f t="array" ref="M11">MAX(IF((ProjectInfoTable[ProjectName]=DiscreteStatsTable[[#This Row],[ProjectName]]),(ProjectInfoTable[ProjectName]=DiscreteStatsTable[[#This Row],[ProjectName]])*ProjectInfoTable[NumberOfReplications]))</f>
        <v>1</v>
      </c>
      <c r="N11" s="3">
        <f t="array" ref="N11">IFERROR(AVERAGE(IF((DiscreteStatsTable[GroupByKey]=DiscreteStatsTable[[#This Row],[GroupByKey]]),(DiscreteStatsTable[GroupByKey]=DiscreteStatsTable[[#This Row],[GroupByKey]])*DiscreteStatsTable[Average])),0)</f>
        <v>0</v>
      </c>
      <c r="O11" s="3">
        <f t="array" ref="O11">IFERROR(_xlfn.STDEV.S(IF((DiscreteStatsTable[GroupByKey]=DiscreteStatsTable[[#This Row],[GroupByKey]]),(DiscreteStatsTable[GroupByKey]=DiscreteStatsTable[[#This Row],[GroupByKey]])*DiscreteStatsTable[Average])),0)</f>
        <v>0</v>
      </c>
      <c r="P11" s="3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 s="3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1" s="3">
        <f t="array" ref="R11">MIN(IF((DiscreteStatsTable[GroupByKey]=DiscreteStatsTable[[#This Row],[GroupByKey]]),(DiscreteStatsTable[GroupByKey]=DiscreteStatsTable[[#This Row],[GroupByKey]])*DiscreteStatsTable[Average]))</f>
        <v>0</v>
      </c>
      <c r="S11" s="3">
        <f t="array" ref="S11">MAX(IF((DiscreteStatsTable[GroupByKey]=DiscreteStatsTable[[#This Row],[GroupByKey]]),(DiscreteStatsTable[GroupByKey]=DiscreteStatsTable[[#This Row],[GroupByKey]])*DiscreteStatsTable[Average]))</f>
        <v>0</v>
      </c>
      <c r="T11" s="3">
        <f t="array" ref="T11">MIN(IF((DiscreteStatsTable[GroupByKey]=DiscreteStatsTable[[#This Row],[GroupByKey]]),(DiscreteStatsTable[GroupByKey]=DiscreteStatsTable[[#This Row],[GroupByKey]])*DiscreteStatsTable[Minimum]))</f>
        <v>0</v>
      </c>
      <c r="U11" s="3">
        <f t="array" ref="U11">MAX(IF((DiscreteStatsTable[GroupByKey]=DiscreteStatsTable[[#This Row],[GroupByKey]]),(DiscreteStatsTable[GroupByKey]=DiscreteStatsTable[[#This Row],[GroupByKey]])*DiscreteStatsTable[Maximum]))</f>
        <v>0</v>
      </c>
      <c r="V11" s="3">
        <f t="array" ref="V11">IFERROR(AVERAGE(IF((DiscreteStatsTable[GroupByKey]=DiscreteStatsTable[[#This Row],[GroupByKey]]),(DiscreteStatsTable[GroupByKey]=DiscreteStatsTable[[#This Row],[GroupByKey]])*DiscreteStatsTable[NumberObservations])),0)</f>
        <v>188</v>
      </c>
      <c r="W11" s="3">
        <f>IF((DiscreteStatsTable[[#This Row],[RepsRequested]]&gt;1),DiscreteStatsTable[[#This Row],[HalfWidth]],DiscreteStatsTable[[#This Row],[BatchMeansHalfWidth]])</f>
        <v>2E+20</v>
      </c>
      <c r="X11" s="3">
        <f t="array" ref="X11">COUNT(IF((DiscreteStatsTable[GroupByKey]=DiscreteStatsTable[[#This Row],[GroupByKey]]),(DiscreteStatsTable[GroupByKey]=DiscreteStatsTable[[#This Row],[GroupByKey]])*DiscreteStatsTable[Replication]))</f>
        <v>1</v>
      </c>
      <c r="Y11" s="3">
        <f>IF(DiscreteStatsTable[[#This Row],[RepsRequested]]=DiscreteStatsTable[[#This Row],[RepsWithStatObserved]],1,0)</f>
        <v>1</v>
      </c>
    </row>
    <row r="12" spans="1:25" x14ac:dyDescent="0.3">
      <c r="A12" t="s">
        <v>66</v>
      </c>
      <c r="B12" t="s">
        <v>69</v>
      </c>
      <c r="C12">
        <v>1</v>
      </c>
      <c r="D12" t="s">
        <v>84</v>
      </c>
      <c r="E12" t="s">
        <v>79</v>
      </c>
      <c r="F12" t="s">
        <v>80</v>
      </c>
      <c r="G12">
        <v>0</v>
      </c>
      <c r="H12">
        <v>2E+20</v>
      </c>
      <c r="I12">
        <v>0</v>
      </c>
      <c r="J12">
        <v>0</v>
      </c>
      <c r="K12">
        <v>165</v>
      </c>
      <c r="L12" t="str">
        <f>DiscreteStatsTable[[#This Row],[ProjectName]]&amp;DiscreteStatsTable[[#This Row],[Name]]&amp;DiscreteStatsTable[[#This Row],[Type]]&amp;DiscreteStatsTable[[#This Row],[Source]]</f>
        <v>Unnamed ProjectSubProcess5.QueueWaiting TimeQueue</v>
      </c>
      <c r="M12">
        <f t="array" ref="M12">MAX(IF((ProjectInfoTable[ProjectName]=DiscreteStatsTable[[#This Row],[ProjectName]]),(ProjectInfoTable[ProjectName]=DiscreteStatsTable[[#This Row],[ProjectName]])*ProjectInfoTable[NumberOfReplications]))</f>
        <v>1</v>
      </c>
      <c r="N12">
        <f t="array" ref="N12">IFERROR(AVERAGE(IF((DiscreteStatsTable[GroupByKey]=DiscreteStatsTable[[#This Row],[GroupByKey]]),(DiscreteStatsTable[GroupByKey]=DiscreteStatsTable[[#This Row],[GroupByKey]])*DiscreteStatsTable[Average])),0)</f>
        <v>0</v>
      </c>
      <c r="O12" s="3">
        <f t="array" ref="O12">IFERROR(_xlfn.STDEV.S(IF((DiscreteStatsTable[GroupByKey]=DiscreteStatsTable[[#This Row],[GroupByKey]]),(DiscreteStatsTable[GroupByKey]=DiscreteStatsTable[[#This Row],[GroupByKey]])*DiscreteStatsTable[Average])),0)</f>
        <v>0</v>
      </c>
      <c r="P12" s="3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 s="3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2" s="3">
        <f t="array" ref="R12">MIN(IF((DiscreteStatsTable[GroupByKey]=DiscreteStatsTable[[#This Row],[GroupByKey]]),(DiscreteStatsTable[GroupByKey]=DiscreteStatsTable[[#This Row],[GroupByKey]])*DiscreteStatsTable[Average]))</f>
        <v>0</v>
      </c>
      <c r="S12" s="3">
        <f t="array" ref="S12">MAX(IF((DiscreteStatsTable[GroupByKey]=DiscreteStatsTable[[#This Row],[GroupByKey]]),(DiscreteStatsTable[GroupByKey]=DiscreteStatsTable[[#This Row],[GroupByKey]])*DiscreteStatsTable[Average]))</f>
        <v>0</v>
      </c>
      <c r="T12" s="3">
        <f t="array" ref="T12">MIN(IF((DiscreteStatsTable[GroupByKey]=DiscreteStatsTable[[#This Row],[GroupByKey]]),(DiscreteStatsTable[GroupByKey]=DiscreteStatsTable[[#This Row],[GroupByKey]])*DiscreteStatsTable[Minimum]))</f>
        <v>0</v>
      </c>
      <c r="U12" s="3">
        <f t="array" ref="U12">MAX(IF((DiscreteStatsTable[GroupByKey]=DiscreteStatsTable[[#This Row],[GroupByKey]]),(DiscreteStatsTable[GroupByKey]=DiscreteStatsTable[[#This Row],[GroupByKey]])*DiscreteStatsTable[Maximum]))</f>
        <v>0</v>
      </c>
      <c r="V12" s="3">
        <f t="array" ref="V12">IFERROR(AVERAGE(IF((DiscreteStatsTable[GroupByKey]=DiscreteStatsTable[[#This Row],[GroupByKey]]),(DiscreteStatsTable[GroupByKey]=DiscreteStatsTable[[#This Row],[GroupByKey]])*DiscreteStatsTable[NumberObservations])),0)</f>
        <v>165</v>
      </c>
      <c r="W12" s="3">
        <f>IF((DiscreteStatsTable[[#This Row],[RepsRequested]]&gt;1),DiscreteStatsTable[[#This Row],[HalfWidth]],DiscreteStatsTable[[#This Row],[BatchMeansHalfWidth]])</f>
        <v>2E+20</v>
      </c>
      <c r="X12" s="3">
        <f t="array" ref="X12">COUNT(IF((DiscreteStatsTable[GroupByKey]=DiscreteStatsTable[[#This Row],[GroupByKey]]),(DiscreteStatsTable[GroupByKey]=DiscreteStatsTable[[#This Row],[GroupByKey]])*DiscreteStatsTable[Replication]))</f>
        <v>1</v>
      </c>
      <c r="Y12" s="3">
        <f>IF(DiscreteStatsTable[[#This Row],[RepsRequested]]=DiscreteStatsTable[[#This Row],[RepsWithStatObserved]],1,0)</f>
        <v>1</v>
      </c>
    </row>
  </sheetData>
  <phoneticPr fontId="2" type="noConversion"/>
  <conditionalFormatting sqref="H2:H12 Q2:Q12">
    <cfRule type="expression" dxfId="21" priority="23">
      <formula>H2=200000000000000000000</formula>
    </cfRule>
  </conditionalFormatting>
  <conditionalFormatting sqref="H2:H12">
    <cfRule type="expression" dxfId="20" priority="21">
      <formula>H2=300000000000000000000</formula>
    </cfRule>
  </conditionalFormatting>
  <conditionalFormatting sqref="L2:Y12">
    <cfRule type="expression" dxfId="19" priority="19">
      <formula>MOD(ROW(),2)=0</formula>
    </cfRule>
  </conditionalFormatting>
  <conditionalFormatting sqref="Y2:Y12">
    <cfRule type="expression" dxfId="18" priority="14">
      <formula>Y2=0</formula>
    </cfRule>
    <cfRule type="expression" dxfId="17" priority="16">
      <formula>Y2=1</formula>
    </cfRule>
  </conditionalFormatting>
  <conditionalFormatting sqref="Y3:Y12">
    <cfRule type="expression" dxfId="16" priority="15">
      <formula>Y3=1</formula>
    </cfRule>
  </conditionalFormatting>
  <conditionalFormatting sqref="W2:W12">
    <cfRule type="expression" dxfId="15" priority="6">
      <formula>W2=300000000000000000000</formula>
    </cfRule>
    <cfRule type="expression" dxfId="14" priority="7">
      <formula>W2=200000000000000000000</formula>
    </cfRule>
  </conditionalFormatting>
  <conditionalFormatting sqref="Q2:Q12 W2:W12">
    <cfRule type="expression" dxfId="13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U10"/>
  <sheetViews>
    <sheetView workbookViewId="0">
      <selection activeCell="A2" sqref="A2:L11"/>
    </sheetView>
  </sheetViews>
  <sheetFormatPr defaultRowHeight="14.4" x14ac:dyDescent="0.3"/>
  <cols>
    <col min="1" max="1" width="15.21875" bestFit="1" customWidth="1"/>
    <col min="2" max="2" width="21.21875" bestFit="1" customWidth="1"/>
    <col min="3" max="3" width="12.5546875" bestFit="1" customWidth="1"/>
    <col min="4" max="4" width="17.21875" bestFit="1" customWidth="1"/>
    <col min="5" max="5" width="21.6640625" bestFit="1" customWidth="1"/>
    <col min="6" max="6" width="9" bestFit="1" customWidth="1"/>
    <col min="7" max="7" width="12" bestFit="1" customWidth="1"/>
    <col min="8" max="8" width="22.33203125" bestFit="1" customWidth="1"/>
    <col min="9" max="9" width="11.44140625" bestFit="1" customWidth="1"/>
    <col min="10" max="10" width="11.77734375" bestFit="1" customWidth="1"/>
    <col min="11" max="11" width="19.5546875" bestFit="1" customWidth="1"/>
    <col min="12" max="12" width="11.33203125" bestFit="1" customWidth="1"/>
    <col min="13" max="13" width="53.109375" bestFit="1" customWidth="1"/>
    <col min="14" max="14" width="16.21875" bestFit="1" customWidth="1"/>
    <col min="15" max="15" width="19.109375" bestFit="1" customWidth="1"/>
    <col min="16" max="16" width="17.109375" bestFit="1" customWidth="1"/>
    <col min="17" max="17" width="19.44140625" bestFit="1" customWidth="1"/>
    <col min="18" max="18" width="11.6640625" bestFit="1" customWidth="1"/>
    <col min="19" max="19" width="18.44140625" bestFit="1" customWidth="1"/>
    <col min="20" max="20" width="18.77734375" bestFit="1" customWidth="1"/>
    <col min="21" max="22" width="20" bestFit="1" customWidth="1"/>
  </cols>
  <sheetData>
    <row r="1" spans="1:21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65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3">
      <c r="A2" t="s">
        <v>66</v>
      </c>
      <c r="B2" t="s">
        <v>69</v>
      </c>
      <c r="C2">
        <v>1</v>
      </c>
      <c r="D2" t="s">
        <v>70</v>
      </c>
      <c r="E2" t="s">
        <v>85</v>
      </c>
      <c r="F2" t="s">
        <v>72</v>
      </c>
      <c r="G2">
        <v>42.207209128385401</v>
      </c>
      <c r="H2">
        <v>3E+20</v>
      </c>
      <c r="I2">
        <v>0</v>
      </c>
      <c r="J2">
        <v>69</v>
      </c>
      <c r="K2">
        <v>55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2">
        <f t="array" ref="N2">MAX(IF((ProjectInfoTable[ProjectName]=ContinuousStatsTable[[#This Row],[ProjectName]]),(ProjectInfoTable[ProjectName]=ContinuousStatsTable[[#This Row],[ProjectName]])*ProjectInfoTable[NumberOfReplications]))</f>
        <v>1</v>
      </c>
      <c r="O2">
        <f t="array" ref="O2">IFERROR(AVERAGE(IF((ContinuousStatsTable[GroupByKey]=ContinuousStatsTable[[#This Row],[GroupByKey]]),(ContinuousStatsTable[GroupByKey]=ContinuousStatsTable[[#This Row],[GroupByKey]])*ContinuousStatsTable[Average])),0)</f>
        <v>42.207209128385401</v>
      </c>
      <c r="P2" s="3">
        <f t="array" ref="P2">IFERROR(_xlfn.STDEV.S(IF((ContinuousStatsTable[GroupByKey]=ContinuousStatsTable[[#This Row],[GroupByKey]]),(ContinuousStatsTable[GroupByKey]=ContinuousStatsTable[[#This Row],[GroupByKey]])*ContinuousStatsTable[Average])),0)</f>
        <v>0</v>
      </c>
      <c r="Q2" s="3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 s="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" s="3">
        <f t="array" ref="S2">MIN(IF((ContinuousStatsTable[GroupByKey]=ContinuousStatsTable[[#This Row],[GroupByKey]]),(ContinuousStatsTable[GroupByKey]=ContinuousStatsTable[[#This Row],[GroupByKey]])*ContinuousStatsTable[Average]))</f>
        <v>42.207209128385401</v>
      </c>
      <c r="T2" s="3">
        <f t="array" ref="T2">MAX(IF((ContinuousStatsTable[GroupByKey]=ContinuousStatsTable[[#This Row],[GroupByKey]]),(ContinuousStatsTable[GroupByKey]=ContinuousStatsTable[[#This Row],[GroupByKey]])*ContinuousStatsTable[Average]))</f>
        <v>42.207209128385401</v>
      </c>
      <c r="U2" s="3">
        <f>IF((ContinuousStatsTable[[#This Row],[RepsRequested]]&gt;1),ContinuousStatsTable[[#This Row],[HalfWidth]],ContinuousStatsTable[[#This Row],[BatchMeansHalfWidth]])</f>
        <v>3E+20</v>
      </c>
    </row>
    <row r="3" spans="1:21" x14ac:dyDescent="0.3">
      <c r="A3" t="s">
        <v>66</v>
      </c>
      <c r="B3" t="s">
        <v>69</v>
      </c>
      <c r="C3">
        <v>1</v>
      </c>
      <c r="D3" t="s">
        <v>86</v>
      </c>
      <c r="E3" t="s">
        <v>87</v>
      </c>
      <c r="F3" t="s">
        <v>88</v>
      </c>
      <c r="G3">
        <v>0.93380109413770496</v>
      </c>
      <c r="H3">
        <v>3E+20</v>
      </c>
      <c r="I3">
        <v>0</v>
      </c>
      <c r="J3">
        <v>1</v>
      </c>
      <c r="K3">
        <v>1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ProjectResource 1Instantaneous UtilizationResource</v>
      </c>
      <c r="N3">
        <f t="array" ref="N3">MAX(IF((ProjectInfoTable[ProjectName]=ContinuousStatsTable[[#This Row],[ProjectName]]),(ProjectInfoTable[ProjectName]=ContinuousStatsTable[[#This Row],[ProjectName]])*ProjectInfoTable[NumberOfReplications]))</f>
        <v>1</v>
      </c>
      <c r="O3">
        <f t="array" ref="O3">IFERROR(AVERAGE(IF((ContinuousStatsTable[GroupByKey]=ContinuousStatsTable[[#This Row],[GroupByKey]]),(ContinuousStatsTable[GroupByKey]=ContinuousStatsTable[[#This Row],[GroupByKey]])*ContinuousStatsTable[Average])),0)</f>
        <v>0.93380109413770496</v>
      </c>
      <c r="P3" s="3">
        <f t="array" ref="P3">IFERROR(_xlfn.STDEV.S(IF((ContinuousStatsTable[GroupByKey]=ContinuousStatsTable[[#This Row],[GroupByKey]]),(ContinuousStatsTable[GroupByKey]=ContinuousStatsTable[[#This Row],[GroupByKey]])*ContinuousStatsTable[Average])),0)</f>
        <v>0</v>
      </c>
      <c r="Q3" s="3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 s="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3" s="3">
        <f t="array" ref="S3">MIN(IF((ContinuousStatsTable[GroupByKey]=ContinuousStatsTable[[#This Row],[GroupByKey]]),(ContinuousStatsTable[GroupByKey]=ContinuousStatsTable[[#This Row],[GroupByKey]])*ContinuousStatsTable[Average]))</f>
        <v>0.93380109413770496</v>
      </c>
      <c r="T3" s="3">
        <f t="array" ref="T3">MAX(IF((ContinuousStatsTable[GroupByKey]=ContinuousStatsTable[[#This Row],[GroupByKey]]),(ContinuousStatsTable[GroupByKey]=ContinuousStatsTable[[#This Row],[GroupByKey]])*ContinuousStatsTable[Average]))</f>
        <v>0.93380109413770496</v>
      </c>
      <c r="U3" s="3">
        <f>IF((ContinuousStatsTable[[#This Row],[RepsRequested]]&gt;1),ContinuousStatsTable[[#This Row],[HalfWidth]],ContinuousStatsTable[[#This Row],[BatchMeansHalfWidth]])</f>
        <v>3E+20</v>
      </c>
    </row>
    <row r="4" spans="1:21" x14ac:dyDescent="0.3">
      <c r="A4" t="s">
        <v>66</v>
      </c>
      <c r="B4" t="s">
        <v>69</v>
      </c>
      <c r="C4">
        <v>1</v>
      </c>
      <c r="D4" t="s">
        <v>86</v>
      </c>
      <c r="E4" t="s">
        <v>89</v>
      </c>
      <c r="F4" t="s">
        <v>88</v>
      </c>
      <c r="G4">
        <v>0.93380109413770496</v>
      </c>
      <c r="H4">
        <v>3E+20</v>
      </c>
      <c r="I4">
        <v>0</v>
      </c>
      <c r="J4">
        <v>1</v>
      </c>
      <c r="K4">
        <v>1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ProjectResource 1Number BusyResource</v>
      </c>
      <c r="N4">
        <f t="array" ref="N4">MAX(IF((ProjectInfoTable[ProjectName]=ContinuousStatsTable[[#This Row],[ProjectName]]),(ProjectInfoTable[ProjectName]=ContinuousStatsTable[[#This Row],[ProjectName]])*ProjectInfoTable[NumberOfReplications]))</f>
        <v>1</v>
      </c>
      <c r="O4">
        <f t="array" ref="O4">IFERROR(AVERAGE(IF((ContinuousStatsTable[GroupByKey]=ContinuousStatsTable[[#This Row],[GroupByKey]]),(ContinuousStatsTable[GroupByKey]=ContinuousStatsTable[[#This Row],[GroupByKey]])*ContinuousStatsTable[Average])),0)</f>
        <v>0.93380109413770496</v>
      </c>
      <c r="P4" s="3">
        <f t="array" ref="P4">IFERROR(_xlfn.STDEV.S(IF((ContinuousStatsTable[GroupByKey]=ContinuousStatsTable[[#This Row],[GroupByKey]]),(ContinuousStatsTable[GroupByKey]=ContinuousStatsTable[[#This Row],[GroupByKey]])*ContinuousStatsTable[Average])),0)</f>
        <v>0</v>
      </c>
      <c r="Q4" s="3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 s="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4" s="3">
        <f t="array" ref="S4">MIN(IF((ContinuousStatsTable[GroupByKey]=ContinuousStatsTable[[#This Row],[GroupByKey]]),(ContinuousStatsTable[GroupByKey]=ContinuousStatsTable[[#This Row],[GroupByKey]])*ContinuousStatsTable[Average]))</f>
        <v>0.93380109413770496</v>
      </c>
      <c r="T4" s="3">
        <f t="array" ref="T4">MAX(IF((ContinuousStatsTable[GroupByKey]=ContinuousStatsTable[[#This Row],[GroupByKey]]),(ContinuousStatsTable[GroupByKey]=ContinuousStatsTable[[#This Row],[GroupByKey]])*ContinuousStatsTable[Average]))</f>
        <v>0.93380109413770496</v>
      </c>
      <c r="U4" s="3">
        <f>IF((ContinuousStatsTable[[#This Row],[RepsRequested]]&gt;1),ContinuousStatsTable[[#This Row],[HalfWidth]],ContinuousStatsTable[[#This Row],[BatchMeansHalfWidth]])</f>
        <v>3E+20</v>
      </c>
    </row>
    <row r="5" spans="1:21" x14ac:dyDescent="0.3">
      <c r="A5" t="s">
        <v>66</v>
      </c>
      <c r="B5" t="s">
        <v>69</v>
      </c>
      <c r="C5">
        <v>1</v>
      </c>
      <c r="D5" t="s">
        <v>86</v>
      </c>
      <c r="E5" t="s">
        <v>90</v>
      </c>
      <c r="F5" t="s">
        <v>88</v>
      </c>
      <c r="G5">
        <v>1</v>
      </c>
      <c r="H5">
        <v>2E+20</v>
      </c>
      <c r="I5">
        <v>1</v>
      </c>
      <c r="J5">
        <v>1</v>
      </c>
      <c r="K5">
        <v>1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ProjectResource 1Number ScheduledResource</v>
      </c>
      <c r="N5">
        <f t="array" ref="N5">MAX(IF((ProjectInfoTable[ProjectName]=ContinuousStatsTable[[#This Row],[ProjectName]]),(ProjectInfoTable[ProjectName]=ContinuousStatsTable[[#This Row],[ProjectName]])*ProjectInfoTable[NumberOfReplications]))</f>
        <v>1</v>
      </c>
      <c r="O5">
        <f t="array" ref="O5">IFERROR(AVERAGE(IF((ContinuousStatsTable[GroupByKey]=ContinuousStatsTable[[#This Row],[GroupByKey]]),(ContinuousStatsTable[GroupByKey]=ContinuousStatsTable[[#This Row],[GroupByKey]])*ContinuousStatsTable[Average])),0)</f>
        <v>1</v>
      </c>
      <c r="P5" s="3">
        <f t="array" ref="P5">IFERROR(_xlfn.STDEV.S(IF((ContinuousStatsTable[GroupByKey]=ContinuousStatsTable[[#This Row],[GroupByKey]]),(ContinuousStatsTable[GroupByKey]=ContinuousStatsTable[[#This Row],[GroupByKey]])*ContinuousStatsTable[Average])),0)</f>
        <v>0</v>
      </c>
      <c r="Q5" s="3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 s="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5" s="3">
        <f t="array" ref="S5">MIN(IF((ContinuousStatsTable[GroupByKey]=ContinuousStatsTable[[#This Row],[GroupByKey]]),(ContinuousStatsTable[GroupByKey]=ContinuousStatsTable[[#This Row],[GroupByKey]])*ContinuousStatsTable[Average]))</f>
        <v>1</v>
      </c>
      <c r="T5" s="3">
        <f t="array" ref="T5">MAX(IF((ContinuousStatsTable[GroupByKey]=ContinuousStatsTable[[#This Row],[GroupByKey]]),(ContinuousStatsTable[GroupByKey]=ContinuousStatsTable[[#This Row],[GroupByKey]])*ContinuousStatsTable[Average]))</f>
        <v>1</v>
      </c>
      <c r="U5" s="3">
        <f>IF((ContinuousStatsTable[[#This Row],[RepsRequested]]&gt;1),ContinuousStatsTable[[#This Row],[HalfWidth]],ContinuousStatsTable[[#This Row],[BatchMeansHalfWidth]])</f>
        <v>2E+20</v>
      </c>
    </row>
    <row r="6" spans="1:21" x14ac:dyDescent="0.3">
      <c r="A6" t="s">
        <v>66</v>
      </c>
      <c r="B6" t="s">
        <v>69</v>
      </c>
      <c r="C6">
        <v>1</v>
      </c>
      <c r="D6" t="s">
        <v>78</v>
      </c>
      <c r="E6" t="s">
        <v>91</v>
      </c>
      <c r="F6" t="s">
        <v>80</v>
      </c>
      <c r="G6">
        <v>0</v>
      </c>
      <c r="H6">
        <v>2E+20</v>
      </c>
      <c r="I6">
        <v>0</v>
      </c>
      <c r="J6">
        <v>0</v>
      </c>
      <c r="K6">
        <v>0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ProjectSubProcess1.QueueNumber WaitingQueue</v>
      </c>
      <c r="N6">
        <f t="array" ref="N6">MAX(IF((ProjectInfoTable[ProjectName]=ContinuousStatsTable[[#This Row],[ProjectName]]),(ProjectInfoTable[ProjectName]=ContinuousStatsTable[[#This Row],[ProjectName]])*ProjectInfoTable[NumberOfReplications]))</f>
        <v>1</v>
      </c>
      <c r="O6">
        <f t="array" ref="O6">IFERROR(AVERAGE(IF((ContinuousStatsTable[GroupByKey]=ContinuousStatsTable[[#This Row],[GroupByKey]]),(ContinuousStatsTable[GroupByKey]=ContinuousStatsTable[[#This Row],[GroupByKey]])*ContinuousStatsTable[Average])),0)</f>
        <v>0</v>
      </c>
      <c r="P6" s="3">
        <f t="array" ref="P6">IFERROR(_xlfn.STDEV.S(IF((ContinuousStatsTable[GroupByKey]=ContinuousStatsTable[[#This Row],[GroupByKey]]),(ContinuousStatsTable[GroupByKey]=ContinuousStatsTable[[#This Row],[GroupByKey]])*ContinuousStatsTable[Average])),0)</f>
        <v>0</v>
      </c>
      <c r="Q6" s="3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 s="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6" s="3">
        <f t="array" ref="S6">MIN(IF((ContinuousStatsTable[GroupByKey]=ContinuousStatsTable[[#This Row],[GroupByKey]]),(ContinuousStatsTable[GroupByKey]=ContinuousStatsTable[[#This Row],[GroupByKey]])*ContinuousStatsTable[Average]))</f>
        <v>0</v>
      </c>
      <c r="T6" s="3">
        <f t="array" ref="T6">MAX(IF((ContinuousStatsTable[GroupByKey]=ContinuousStatsTable[[#This Row],[GroupByKey]]),(ContinuousStatsTable[GroupByKey]=ContinuousStatsTable[[#This Row],[GroupByKey]])*ContinuousStatsTable[Average]))</f>
        <v>0</v>
      </c>
      <c r="U6" s="3">
        <f>IF((ContinuousStatsTable[[#This Row],[RepsRequested]]&gt;1),ContinuousStatsTable[[#This Row],[HalfWidth]],ContinuousStatsTable[[#This Row],[BatchMeansHalfWidth]])</f>
        <v>2E+20</v>
      </c>
    </row>
    <row r="7" spans="1:21" x14ac:dyDescent="0.3">
      <c r="A7" t="s">
        <v>66</v>
      </c>
      <c r="B7" t="s">
        <v>69</v>
      </c>
      <c r="C7">
        <v>1</v>
      </c>
      <c r="D7" t="s">
        <v>81</v>
      </c>
      <c r="E7" t="s">
        <v>91</v>
      </c>
      <c r="F7" t="s">
        <v>80</v>
      </c>
      <c r="G7">
        <v>0</v>
      </c>
      <c r="H7">
        <v>2E+20</v>
      </c>
      <c r="I7">
        <v>0</v>
      </c>
      <c r="J7">
        <v>0</v>
      </c>
      <c r="K7">
        <v>0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ProjectSubProcess2.QueueNumber WaitingQueue</v>
      </c>
      <c r="N7">
        <f t="array" ref="N7">MAX(IF((ProjectInfoTable[ProjectName]=ContinuousStatsTable[[#This Row],[ProjectName]]),(ProjectInfoTable[ProjectName]=ContinuousStatsTable[[#This Row],[ProjectName]])*ProjectInfoTable[NumberOfReplications]))</f>
        <v>1</v>
      </c>
      <c r="O7">
        <f t="array" ref="O7">IFERROR(AVERAGE(IF((ContinuousStatsTable[GroupByKey]=ContinuousStatsTable[[#This Row],[GroupByKey]]),(ContinuousStatsTable[GroupByKey]=ContinuousStatsTable[[#This Row],[GroupByKey]])*ContinuousStatsTable[Average])),0)</f>
        <v>0</v>
      </c>
      <c r="P7" s="3">
        <f t="array" ref="P7">IFERROR(_xlfn.STDEV.S(IF((ContinuousStatsTable[GroupByKey]=ContinuousStatsTable[[#This Row],[GroupByKey]]),(ContinuousStatsTable[GroupByKey]=ContinuousStatsTable[[#This Row],[GroupByKey]])*ContinuousStatsTable[Average])),0)</f>
        <v>0</v>
      </c>
      <c r="Q7" s="3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 s="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7" s="3">
        <f t="array" ref="S7">MIN(IF((ContinuousStatsTable[GroupByKey]=ContinuousStatsTable[[#This Row],[GroupByKey]]),(ContinuousStatsTable[GroupByKey]=ContinuousStatsTable[[#This Row],[GroupByKey]])*ContinuousStatsTable[Average]))</f>
        <v>0</v>
      </c>
      <c r="T7" s="3">
        <f t="array" ref="T7">MAX(IF((ContinuousStatsTable[GroupByKey]=ContinuousStatsTable[[#This Row],[GroupByKey]]),(ContinuousStatsTable[GroupByKey]=ContinuousStatsTable[[#This Row],[GroupByKey]])*ContinuousStatsTable[Average]))</f>
        <v>0</v>
      </c>
      <c r="U7" s="3">
        <f>IF((ContinuousStatsTable[[#This Row],[RepsRequested]]&gt;1),ContinuousStatsTable[[#This Row],[HalfWidth]],ContinuousStatsTable[[#This Row],[BatchMeansHalfWidth]])</f>
        <v>2E+20</v>
      </c>
    </row>
    <row r="8" spans="1:21" x14ac:dyDescent="0.3">
      <c r="A8" t="s">
        <v>66</v>
      </c>
      <c r="B8" t="s">
        <v>69</v>
      </c>
      <c r="C8">
        <v>1</v>
      </c>
      <c r="D8" t="s">
        <v>82</v>
      </c>
      <c r="E8" t="s">
        <v>91</v>
      </c>
      <c r="F8" t="s">
        <v>80</v>
      </c>
      <c r="G8">
        <v>0</v>
      </c>
      <c r="H8">
        <v>2E+20</v>
      </c>
      <c r="I8">
        <v>0</v>
      </c>
      <c r="J8">
        <v>0</v>
      </c>
      <c r="K8">
        <v>0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Unnamed ProjectSubProcess3.QueueNumber WaitingQueue</v>
      </c>
      <c r="N8">
        <f t="array" ref="N8">MAX(IF((ProjectInfoTable[ProjectName]=ContinuousStatsTable[[#This Row],[ProjectName]]),(ProjectInfoTable[ProjectName]=ContinuousStatsTable[[#This Row],[ProjectName]])*ProjectInfoTable[NumberOfReplications]))</f>
        <v>1</v>
      </c>
      <c r="O8">
        <f t="array" ref="O8">IFERROR(AVERAGE(IF((ContinuousStatsTable[GroupByKey]=ContinuousStatsTable[[#This Row],[GroupByKey]]),(ContinuousStatsTable[GroupByKey]=ContinuousStatsTable[[#This Row],[GroupByKey]])*ContinuousStatsTable[Average])),0)</f>
        <v>0</v>
      </c>
      <c r="P8" s="3">
        <f t="array" ref="P8">IFERROR(_xlfn.STDEV.S(IF((ContinuousStatsTable[GroupByKey]=ContinuousStatsTable[[#This Row],[GroupByKey]]),(ContinuousStatsTable[GroupByKey]=ContinuousStatsTable[[#This Row],[GroupByKey]])*ContinuousStatsTable[Average])),0)</f>
        <v>0</v>
      </c>
      <c r="Q8" s="3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 s="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8" s="3">
        <f t="array" ref="S8">MIN(IF((ContinuousStatsTable[GroupByKey]=ContinuousStatsTable[[#This Row],[GroupByKey]]),(ContinuousStatsTable[GroupByKey]=ContinuousStatsTable[[#This Row],[GroupByKey]])*ContinuousStatsTable[Average]))</f>
        <v>0</v>
      </c>
      <c r="T8" s="3">
        <f t="array" ref="T8">MAX(IF((ContinuousStatsTable[GroupByKey]=ContinuousStatsTable[[#This Row],[GroupByKey]]),(ContinuousStatsTable[GroupByKey]=ContinuousStatsTable[[#This Row],[GroupByKey]])*ContinuousStatsTable[Average]))</f>
        <v>0</v>
      </c>
      <c r="U8" s="3">
        <f>IF((ContinuousStatsTable[[#This Row],[RepsRequested]]&gt;1),ContinuousStatsTable[[#This Row],[HalfWidth]],ContinuousStatsTable[[#This Row],[BatchMeansHalfWidth]])</f>
        <v>2E+20</v>
      </c>
    </row>
    <row r="9" spans="1:21" x14ac:dyDescent="0.3">
      <c r="A9" t="s">
        <v>66</v>
      </c>
      <c r="B9" t="s">
        <v>69</v>
      </c>
      <c r="C9">
        <v>1</v>
      </c>
      <c r="D9" t="s">
        <v>83</v>
      </c>
      <c r="E9" t="s">
        <v>91</v>
      </c>
      <c r="F9" t="s">
        <v>80</v>
      </c>
      <c r="G9">
        <v>0</v>
      </c>
      <c r="H9">
        <v>2E+20</v>
      </c>
      <c r="I9">
        <v>0</v>
      </c>
      <c r="J9">
        <v>0</v>
      </c>
      <c r="K9">
        <v>0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Unnamed ProjectSubProcess4.QueueNumber WaitingQueue</v>
      </c>
      <c r="N9">
        <f t="array" ref="N9">MAX(IF((ProjectInfoTable[ProjectName]=ContinuousStatsTable[[#This Row],[ProjectName]]),(ProjectInfoTable[ProjectName]=ContinuousStatsTable[[#This Row],[ProjectName]])*ProjectInfoTable[NumberOfReplications]))</f>
        <v>1</v>
      </c>
      <c r="O9">
        <f t="array" ref="O9">IFERROR(AVERAGE(IF((ContinuousStatsTable[GroupByKey]=ContinuousStatsTable[[#This Row],[GroupByKey]]),(ContinuousStatsTable[GroupByKey]=ContinuousStatsTable[[#This Row],[GroupByKey]])*ContinuousStatsTable[Average])),0)</f>
        <v>0</v>
      </c>
      <c r="P9" s="3">
        <f t="array" ref="P9">IFERROR(_xlfn.STDEV.S(IF((ContinuousStatsTable[GroupByKey]=ContinuousStatsTable[[#This Row],[GroupByKey]]),(ContinuousStatsTable[GroupByKey]=ContinuousStatsTable[[#This Row],[GroupByKey]])*ContinuousStatsTable[Average])),0)</f>
        <v>0</v>
      </c>
      <c r="Q9" s="3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 s="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9" s="3">
        <f t="array" ref="S9">MIN(IF((ContinuousStatsTable[GroupByKey]=ContinuousStatsTable[[#This Row],[GroupByKey]]),(ContinuousStatsTable[GroupByKey]=ContinuousStatsTable[[#This Row],[GroupByKey]])*ContinuousStatsTable[Average]))</f>
        <v>0</v>
      </c>
      <c r="T9" s="3">
        <f t="array" ref="T9">MAX(IF((ContinuousStatsTable[GroupByKey]=ContinuousStatsTable[[#This Row],[GroupByKey]]),(ContinuousStatsTable[GroupByKey]=ContinuousStatsTable[[#This Row],[GroupByKey]])*ContinuousStatsTable[Average]))</f>
        <v>0</v>
      </c>
      <c r="U9" s="3">
        <f>IF((ContinuousStatsTable[[#This Row],[RepsRequested]]&gt;1),ContinuousStatsTable[[#This Row],[HalfWidth]],ContinuousStatsTable[[#This Row],[BatchMeansHalfWidth]])</f>
        <v>2E+20</v>
      </c>
    </row>
    <row r="10" spans="1:21" x14ac:dyDescent="0.3">
      <c r="A10" t="s">
        <v>66</v>
      </c>
      <c r="B10" t="s">
        <v>69</v>
      </c>
      <c r="C10">
        <v>1</v>
      </c>
      <c r="D10" t="s">
        <v>84</v>
      </c>
      <c r="E10" t="s">
        <v>91</v>
      </c>
      <c r="F10" t="s">
        <v>80</v>
      </c>
      <c r="G10">
        <v>0</v>
      </c>
      <c r="H10">
        <v>2E+20</v>
      </c>
      <c r="I10">
        <v>0</v>
      </c>
      <c r="J10">
        <v>0</v>
      </c>
      <c r="K10">
        <v>0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Unnamed ProjectSubProcess5.QueueNumber WaitingQueue</v>
      </c>
      <c r="N10">
        <f t="array" ref="N10">MAX(IF((ProjectInfoTable[ProjectName]=ContinuousStatsTable[[#This Row],[ProjectName]]),(ProjectInfoTable[ProjectName]=ContinuousStatsTable[[#This Row],[ProjectName]])*ProjectInfoTable[NumberOfReplications]))</f>
        <v>1</v>
      </c>
      <c r="O10">
        <f t="array" ref="O10">IFERROR(AVERAGE(IF((ContinuousStatsTable[GroupByKey]=ContinuousStatsTable[[#This Row],[GroupByKey]]),(ContinuousStatsTable[GroupByKey]=ContinuousStatsTable[[#This Row],[GroupByKey]])*ContinuousStatsTable[Average])),0)</f>
        <v>0</v>
      </c>
      <c r="P10" s="3">
        <f t="array" ref="P10">IFERROR(_xlfn.STDEV.S(IF((ContinuousStatsTable[GroupByKey]=ContinuousStatsTable[[#This Row],[GroupByKey]]),(ContinuousStatsTable[GroupByKey]=ContinuousStatsTable[[#This Row],[GroupByKey]])*ContinuousStatsTable[Average])),0)</f>
        <v>0</v>
      </c>
      <c r="Q10" s="3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 s="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0" s="3">
        <f t="array" ref="S10">MIN(IF((ContinuousStatsTable[GroupByKey]=ContinuousStatsTable[[#This Row],[GroupByKey]]),(ContinuousStatsTable[GroupByKey]=ContinuousStatsTable[[#This Row],[GroupByKey]])*ContinuousStatsTable[Average]))</f>
        <v>0</v>
      </c>
      <c r="T10" s="3">
        <f t="array" ref="T10">MAX(IF((ContinuousStatsTable[GroupByKey]=ContinuousStatsTable[[#This Row],[GroupByKey]]),(ContinuousStatsTable[GroupByKey]=ContinuousStatsTable[[#This Row],[GroupByKey]])*ContinuousStatsTable[Average]))</f>
        <v>0</v>
      </c>
      <c r="U10" s="3">
        <f>IF((ContinuousStatsTable[[#This Row],[RepsRequested]]&gt;1),ContinuousStatsTable[[#This Row],[HalfWidth]],ContinuousStatsTable[[#This Row],[BatchMeansHalfWidth]])</f>
        <v>2E+20</v>
      </c>
    </row>
  </sheetData>
  <phoneticPr fontId="2" type="noConversion"/>
  <conditionalFormatting sqref="H2:H10">
    <cfRule type="expression" dxfId="12" priority="9">
      <formula>H2=200000000000000000000</formula>
    </cfRule>
  </conditionalFormatting>
  <conditionalFormatting sqref="H2:H10">
    <cfRule type="expression" dxfId="11" priority="7">
      <formula>H2=300000000000000000000</formula>
    </cfRule>
  </conditionalFormatting>
  <conditionalFormatting sqref="M2:U10">
    <cfRule type="expression" dxfId="10" priority="5">
      <formula>MOD(ROW(),2)=0</formula>
    </cfRule>
  </conditionalFormatting>
  <conditionalFormatting sqref="U2:U10">
    <cfRule type="expression" dxfId="9" priority="3">
      <formula>U2=200000000000000000000</formula>
    </cfRule>
    <cfRule type="expression" dxfId="8" priority="4">
      <formula>U2=300000000000000000000</formula>
    </cfRule>
  </conditionalFormatting>
  <conditionalFormatting sqref="R2:R10 U2:U10">
    <cfRule type="expression" dxfId="7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2"/>
  <sheetViews>
    <sheetView workbookViewId="0">
      <selection activeCell="G2" sqref="G2"/>
    </sheetView>
  </sheetViews>
  <sheetFormatPr defaultRowHeight="14.4" x14ac:dyDescent="0.3"/>
  <cols>
    <col min="1" max="1" width="14.21875" bestFit="1" customWidth="1"/>
    <col min="2" max="2" width="21.21875" bestFit="1" customWidth="1"/>
    <col min="3" max="3" width="12.5546875" bestFit="1" customWidth="1"/>
    <col min="4" max="4" width="8.21875" bestFit="1" customWidth="1"/>
    <col min="5" max="5" width="7.33203125" bestFit="1" customWidth="1"/>
    <col min="6" max="6" width="9" bestFit="1" customWidth="1"/>
    <col min="7" max="7" width="16.109375" bestFit="1" customWidth="1"/>
    <col min="8" max="8" width="13.6640625" bestFit="1" customWidth="1"/>
    <col min="9" max="9" width="16.21875" bestFit="1" customWidth="1"/>
    <col min="10" max="10" width="10.109375" bestFit="1" customWidth="1"/>
    <col min="11" max="11" width="19" bestFit="1" customWidth="1"/>
    <col min="12" max="12" width="19.44140625" bestFit="1" customWidth="1"/>
    <col min="13" max="13" width="11.6640625" bestFit="1" customWidth="1"/>
    <col min="14" max="14" width="11.44140625" bestFit="1" customWidth="1"/>
    <col min="15" max="15" width="11.77734375" bestFit="1" customWidth="1"/>
  </cols>
  <sheetData>
    <row r="1" spans="1:1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  <row r="2" spans="1:15" x14ac:dyDescent="0.3">
      <c r="K2" s="3"/>
      <c r="L2" s="3"/>
      <c r="M2" s="3"/>
      <c r="N2" s="3"/>
      <c r="O2" s="3"/>
    </row>
  </sheetData>
  <phoneticPr fontId="2" type="noConversion"/>
  <conditionalFormatting sqref="H2:O2">
    <cfRule type="expression" dxfId="6" priority="2">
      <formula>MOD(ROW(),2)=0</formula>
    </cfRule>
  </conditionalFormatting>
  <conditionalFormatting sqref="M2">
    <cfRule type="expression" dxfId="5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P6"/>
  <sheetViews>
    <sheetView workbookViewId="0">
      <selection activeCell="A2" sqref="A2:H31"/>
    </sheetView>
  </sheetViews>
  <sheetFormatPr defaultRowHeight="14.4" x14ac:dyDescent="0.3"/>
  <cols>
    <col min="1" max="1" width="15.21875" bestFit="1" customWidth="1"/>
    <col min="2" max="2" width="21.21875" bestFit="1" customWidth="1"/>
    <col min="3" max="3" width="12.5546875" bestFit="1" customWidth="1"/>
    <col min="4" max="4" width="27.5546875" bestFit="1" customWidth="1"/>
    <col min="5" max="5" width="18.21875" bestFit="1" customWidth="1"/>
    <col min="6" max="6" width="9" bestFit="1" customWidth="1"/>
    <col min="7" max="7" width="16.109375" bestFit="1" customWidth="1"/>
    <col min="8" max="8" width="11.33203125" bestFit="1" customWidth="1"/>
    <col min="9" max="9" width="67.33203125" bestFit="1" customWidth="1"/>
    <col min="10" max="10" width="16.21875" bestFit="1" customWidth="1"/>
    <col min="11" max="11" width="12" bestFit="1" customWidth="1"/>
    <col min="12" max="12" width="19" bestFit="1" customWidth="1"/>
    <col min="13" max="13" width="19.44140625" bestFit="1" customWidth="1"/>
    <col min="14" max="14" width="11.6640625" bestFit="1" customWidth="1"/>
    <col min="15" max="16" width="12" bestFit="1" customWidth="1"/>
  </cols>
  <sheetData>
    <row r="1" spans="1:16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65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3">
      <c r="A2" t="s">
        <v>66</v>
      </c>
      <c r="B2" t="s">
        <v>69</v>
      </c>
      <c r="C2">
        <v>1</v>
      </c>
      <c r="D2" t="s">
        <v>92</v>
      </c>
      <c r="E2" t="s">
        <v>93</v>
      </c>
      <c r="F2" t="s">
        <v>72</v>
      </c>
      <c r="G2">
        <v>1015</v>
      </c>
      <c r="H2">
        <v>0</v>
      </c>
      <c r="I2" t="str">
        <f>OutputTable[[#This Row],[ProjectName]]&amp;OutputTable[[#This Row],[Name]]&amp;OutputTable[[#This Row],[Type]]&amp;OutputTable[[#This Row],[Source]]</f>
        <v>Unnamed ProjectEntity 1.NumberInNumber InEntity</v>
      </c>
      <c r="J2">
        <f t="array" ref="J2">MAX(IF((ProjectInfoTable[ProjectName]=OutputTable[[#This Row],[ProjectName]]),(ProjectInfoTable[ProjectName]=OutputTable[[#This Row],[ProjectName]])*ProjectInfoTable[NumberOfReplications]))</f>
        <v>1</v>
      </c>
      <c r="K2">
        <f t="array" ref="K2">IFERROR(AVERAGE(IF((OutputTable[GroupByKey]=OutputTable[[#This Row],[GroupByKey]]),(OutputTable[GroupByKey]=OutputTable[[#This Row],[GroupByKey]])*OutputTable[RecordedValue])),0)</f>
        <v>1015</v>
      </c>
      <c r="L2" s="3">
        <f t="array" ref="L2">IFERROR(_xlfn.STDEV.S(IF((OutputTable[GroupByKey]=OutputTable[[#This Row],[GroupByKey]]),(OutputTable[GroupByKey]=OutputTable[[#This Row],[GroupByKey]])*OutputTable[RecordedValue])),0)</f>
        <v>0</v>
      </c>
      <c r="M2" s="3">
        <f t="array" ref="M2">MAX(IF((ProjectInfoTable[ProjectName]=OutputTable[[#This Row],[ProjectName]]),(ProjectInfoTable[ProjectName]=OutputTable[[#This Row],[ProjectName]])*ProjectInfoTable[ConfidenceInterval]))</f>
        <v>0.95</v>
      </c>
      <c r="N2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" s="3">
        <f t="array" ref="O2">MIN(IF((OutputTable[GroupByKey]=OutputTable[[#This Row],[GroupByKey]]),(OutputTable[GroupByKey]=OutputTable[[#This Row],[GroupByKey]])*OutputTable[RecordedValue]))</f>
        <v>1015</v>
      </c>
      <c r="P2" s="3">
        <f t="array" ref="P2">MAX(IF((OutputTable[GroupByKey]=OutputTable[[#This Row],[GroupByKey]]),(OutputTable[GroupByKey]=OutputTable[[#This Row],[GroupByKey]])*OutputTable[RecordedValue]))</f>
        <v>1015</v>
      </c>
    </row>
    <row r="3" spans="1:16" x14ac:dyDescent="0.3">
      <c r="A3" t="s">
        <v>66</v>
      </c>
      <c r="B3" t="s">
        <v>69</v>
      </c>
      <c r="C3">
        <v>1</v>
      </c>
      <c r="D3" t="s">
        <v>94</v>
      </c>
      <c r="E3" t="s">
        <v>95</v>
      </c>
      <c r="F3" t="s">
        <v>72</v>
      </c>
      <c r="G3">
        <v>960</v>
      </c>
      <c r="H3">
        <v>0</v>
      </c>
      <c r="I3" t="str">
        <f>OutputTable[[#This Row],[ProjectName]]&amp;OutputTable[[#This Row],[Name]]&amp;OutputTable[[#This Row],[Type]]&amp;OutputTable[[#This Row],[Source]]</f>
        <v>Unnamed ProjectEntity 1.NumberOutNumber OutEntity</v>
      </c>
      <c r="J3">
        <f t="array" ref="J3">MAX(IF((ProjectInfoTable[ProjectName]=OutputTable[[#This Row],[ProjectName]]),(ProjectInfoTable[ProjectName]=OutputTable[[#This Row],[ProjectName]])*ProjectInfoTable[NumberOfReplications]))</f>
        <v>1</v>
      </c>
      <c r="K3">
        <f t="array" ref="K3">IFERROR(AVERAGE(IF((OutputTable[GroupByKey]=OutputTable[[#This Row],[GroupByKey]]),(OutputTable[GroupByKey]=OutputTable[[#This Row],[GroupByKey]])*OutputTable[RecordedValue])),0)</f>
        <v>960</v>
      </c>
      <c r="L3" s="3">
        <f t="array" ref="L3">IFERROR(_xlfn.STDEV.S(IF((OutputTable[GroupByKey]=OutputTable[[#This Row],[GroupByKey]]),(OutputTable[GroupByKey]=OutputTable[[#This Row],[GroupByKey]])*OutputTable[RecordedValue])),0)</f>
        <v>0</v>
      </c>
      <c r="M3" s="3">
        <f t="array" ref="M3">MAX(IF((ProjectInfoTable[ProjectName]=OutputTable[[#This Row],[ProjectName]]),(ProjectInfoTable[ProjectName]=OutputTable[[#This Row],[ProjectName]])*ProjectInfoTable[ConfidenceInterval]))</f>
        <v>0.95</v>
      </c>
      <c r="N3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3" s="3">
        <f t="array" ref="O3">MIN(IF((OutputTable[GroupByKey]=OutputTable[[#This Row],[GroupByKey]]),(OutputTable[GroupByKey]=OutputTable[[#This Row],[GroupByKey]])*OutputTable[RecordedValue]))</f>
        <v>960</v>
      </c>
      <c r="P3" s="3">
        <f t="array" ref="P3">MAX(IF((OutputTable[GroupByKey]=OutputTable[[#This Row],[GroupByKey]]),(OutputTable[GroupByKey]=OutputTable[[#This Row],[GroupByKey]])*OutputTable[RecordedValue]))</f>
        <v>960</v>
      </c>
    </row>
    <row r="4" spans="1:16" x14ac:dyDescent="0.3">
      <c r="A4" t="s">
        <v>66</v>
      </c>
      <c r="B4" t="s">
        <v>69</v>
      </c>
      <c r="C4">
        <v>1</v>
      </c>
      <c r="D4" t="s">
        <v>96</v>
      </c>
      <c r="E4" t="s">
        <v>97</v>
      </c>
      <c r="F4" t="s">
        <v>88</v>
      </c>
      <c r="G4">
        <v>961</v>
      </c>
      <c r="H4">
        <v>0</v>
      </c>
      <c r="I4" t="str">
        <f>OutputTable[[#This Row],[ProjectName]]&amp;OutputTable[[#This Row],[Name]]&amp;OutputTable[[#This Row],[Type]]&amp;OutputTable[[#This Row],[Source]]</f>
        <v>Unnamed ProjectResource 1.NumberSeizedTotal Number SeizedResource</v>
      </c>
      <c r="J4">
        <f t="array" ref="J4">MAX(IF((ProjectInfoTable[ProjectName]=OutputTable[[#This Row],[ProjectName]]),(ProjectInfoTable[ProjectName]=OutputTable[[#This Row],[ProjectName]])*ProjectInfoTable[NumberOfReplications]))</f>
        <v>1</v>
      </c>
      <c r="K4">
        <f t="array" ref="K4">IFERROR(AVERAGE(IF((OutputTable[GroupByKey]=OutputTable[[#This Row],[GroupByKey]]),(OutputTable[GroupByKey]=OutputTable[[#This Row],[GroupByKey]])*OutputTable[RecordedValue])),0)</f>
        <v>961</v>
      </c>
      <c r="L4" s="3">
        <f t="array" ref="L4">IFERROR(_xlfn.STDEV.S(IF((OutputTable[GroupByKey]=OutputTable[[#This Row],[GroupByKey]]),(OutputTable[GroupByKey]=OutputTable[[#This Row],[GroupByKey]])*OutputTable[RecordedValue])),0)</f>
        <v>0</v>
      </c>
      <c r="M4" s="3">
        <f t="array" ref="M4">MAX(IF((ProjectInfoTable[ProjectName]=OutputTable[[#This Row],[ProjectName]]),(ProjectInfoTable[ProjectName]=OutputTable[[#This Row],[ProjectName]])*ProjectInfoTable[ConfidenceInterval]))</f>
        <v>0.95</v>
      </c>
      <c r="N4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4" s="3">
        <f t="array" ref="O4">MIN(IF((OutputTable[GroupByKey]=OutputTable[[#This Row],[GroupByKey]]),(OutputTable[GroupByKey]=OutputTable[[#This Row],[GroupByKey]])*OutputTable[RecordedValue]))</f>
        <v>961</v>
      </c>
      <c r="P4" s="3">
        <f t="array" ref="P4">MAX(IF((OutputTable[GroupByKey]=OutputTable[[#This Row],[GroupByKey]]),(OutputTable[GroupByKey]=OutputTable[[#This Row],[GroupByKey]])*OutputTable[RecordedValue]))</f>
        <v>961</v>
      </c>
    </row>
    <row r="5" spans="1:16" x14ac:dyDescent="0.3">
      <c r="A5" t="s">
        <v>66</v>
      </c>
      <c r="B5" t="s">
        <v>69</v>
      </c>
      <c r="C5">
        <v>1</v>
      </c>
      <c r="D5" t="s">
        <v>98</v>
      </c>
      <c r="E5" t="s">
        <v>99</v>
      </c>
      <c r="F5" t="s">
        <v>88</v>
      </c>
      <c r="G5">
        <v>0.93380109413770496</v>
      </c>
      <c r="H5">
        <v>0</v>
      </c>
      <c r="I5" t="str">
        <f>OutputTable[[#This Row],[ProjectName]]&amp;OutputTable[[#This Row],[Name]]&amp;OutputTable[[#This Row],[Type]]&amp;OutputTable[[#This Row],[Source]]</f>
        <v>Unnamed ProjectResource 1.ScheduledUtilizationScheduled UtilizationResource</v>
      </c>
      <c r="J5">
        <f t="array" ref="J5">MAX(IF((ProjectInfoTable[ProjectName]=OutputTable[[#This Row],[ProjectName]]),(ProjectInfoTable[ProjectName]=OutputTable[[#This Row],[ProjectName]])*ProjectInfoTable[NumberOfReplications]))</f>
        <v>1</v>
      </c>
      <c r="K5">
        <f t="array" ref="K5">IFERROR(AVERAGE(IF((OutputTable[GroupByKey]=OutputTable[[#This Row],[GroupByKey]]),(OutputTable[GroupByKey]=OutputTable[[#This Row],[GroupByKey]])*OutputTable[RecordedValue])),0)</f>
        <v>0.93380109413770496</v>
      </c>
      <c r="L5" s="3">
        <f t="array" ref="L5">IFERROR(_xlfn.STDEV.S(IF((OutputTable[GroupByKey]=OutputTable[[#This Row],[GroupByKey]]),(OutputTable[GroupByKey]=OutputTable[[#This Row],[GroupByKey]])*OutputTable[RecordedValue])),0)</f>
        <v>0</v>
      </c>
      <c r="M5" s="3">
        <f t="array" ref="M5">MAX(IF((ProjectInfoTable[ProjectName]=OutputTable[[#This Row],[ProjectName]]),(ProjectInfoTable[ProjectName]=OutputTable[[#This Row],[ProjectName]])*ProjectInfoTable[ConfidenceInterval]))</f>
        <v>0.95</v>
      </c>
      <c r="N5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5" s="3">
        <f t="array" ref="O5">MIN(IF((OutputTable[GroupByKey]=OutputTable[[#This Row],[GroupByKey]]),(OutputTable[GroupByKey]=OutputTable[[#This Row],[GroupByKey]])*OutputTable[RecordedValue]))</f>
        <v>0.93380109413770496</v>
      </c>
      <c r="P5" s="3">
        <f t="array" ref="P5">MAX(IF((OutputTable[GroupByKey]=OutputTable[[#This Row],[GroupByKey]]),(OutputTable[GroupByKey]=OutputTable[[#This Row],[GroupByKey]])*OutputTable[RecordedValue]))</f>
        <v>0.93380109413770496</v>
      </c>
    </row>
    <row r="6" spans="1:16" x14ac:dyDescent="0.3">
      <c r="A6" t="s">
        <v>66</v>
      </c>
      <c r="B6" t="s">
        <v>69</v>
      </c>
      <c r="C6">
        <v>1</v>
      </c>
      <c r="D6" t="s">
        <v>100</v>
      </c>
      <c r="E6" t="s">
        <v>95</v>
      </c>
      <c r="F6" t="s">
        <v>101</v>
      </c>
      <c r="G6">
        <v>960</v>
      </c>
      <c r="H6">
        <v>0</v>
      </c>
      <c r="I6" t="str">
        <f>OutputTable[[#This Row],[ProjectName]]&amp;OutputTable[[#This Row],[Name]]&amp;OutputTable[[#This Row],[Type]]&amp;OutputTable[[#This Row],[Source]]</f>
        <v>Unnamed ProjectSystem.NumberOutNumber OutSystem</v>
      </c>
      <c r="J6">
        <f t="array" ref="J6">MAX(IF((ProjectInfoTable[ProjectName]=OutputTable[[#This Row],[ProjectName]]),(ProjectInfoTable[ProjectName]=OutputTable[[#This Row],[ProjectName]])*ProjectInfoTable[NumberOfReplications]))</f>
        <v>1</v>
      </c>
      <c r="K6">
        <f t="array" ref="K6">IFERROR(AVERAGE(IF((OutputTable[GroupByKey]=OutputTable[[#This Row],[GroupByKey]]),(OutputTable[GroupByKey]=OutputTable[[#This Row],[GroupByKey]])*OutputTable[RecordedValue])),0)</f>
        <v>960</v>
      </c>
      <c r="L6" s="3">
        <f t="array" ref="L6">IFERROR(_xlfn.STDEV.S(IF((OutputTable[GroupByKey]=OutputTable[[#This Row],[GroupByKey]]),(OutputTable[GroupByKey]=OutputTable[[#This Row],[GroupByKey]])*OutputTable[RecordedValue])),0)</f>
        <v>0</v>
      </c>
      <c r="M6" s="3">
        <f t="array" ref="M6">MAX(IF((ProjectInfoTable[ProjectName]=OutputTable[[#This Row],[ProjectName]]),(ProjectInfoTable[ProjectName]=OutputTable[[#This Row],[ProjectName]])*ProjectInfoTable[ConfidenceInterval]))</f>
        <v>0.95</v>
      </c>
      <c r="N6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6" s="3">
        <f t="array" ref="O6">MIN(IF((OutputTable[GroupByKey]=OutputTable[[#This Row],[GroupByKey]]),(OutputTable[GroupByKey]=OutputTable[[#This Row],[GroupByKey]])*OutputTable[RecordedValue]))</f>
        <v>960</v>
      </c>
      <c r="P6" s="3">
        <f t="array" ref="P6">MAX(IF((OutputTable[GroupByKey]=OutputTable[[#This Row],[GroupByKey]]),(OutputTable[GroupByKey]=OutputTable[[#This Row],[GroupByKey]])*OutputTable[RecordedValue]))</f>
        <v>960</v>
      </c>
    </row>
  </sheetData>
  <phoneticPr fontId="2" type="noConversion"/>
  <conditionalFormatting sqref="I2:P6">
    <cfRule type="expression" dxfId="4" priority="2">
      <formula>MOD(ROW(),2)=0</formula>
    </cfRule>
  </conditionalFormatting>
  <conditionalFormatting sqref="N2:N6">
    <cfRule type="expression" dxfId="3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45"/>
  <sheetViews>
    <sheetView workbookViewId="0">
      <selection activeCell="A2" sqref="A2"/>
    </sheetView>
  </sheetViews>
  <sheetFormatPr defaultRowHeight="14.4" x14ac:dyDescent="0.3"/>
  <cols>
    <col min="1" max="1" width="14.21875" customWidth="1"/>
    <col min="2" max="2" width="21.21875" bestFit="1" customWidth="1"/>
    <col min="3" max="3" width="12.5546875" bestFit="1" customWidth="1"/>
    <col min="4" max="4" width="8.21875" bestFit="1" customWidth="1"/>
    <col min="5" max="5" width="10.77734375" bestFit="1" customWidth="1"/>
    <col min="6" max="6" width="9" customWidth="1"/>
    <col min="7" max="7" width="20.5546875" bestFit="1" customWidth="1"/>
    <col min="8" max="8" width="21.21875" bestFit="1" customWidth="1"/>
    <col min="9" max="9" width="23.77734375" bestFit="1" customWidth="1"/>
    <col min="10" max="10" width="25" bestFit="1" customWidth="1"/>
    <col min="11" max="11" width="15.33203125" bestFit="1" customWidth="1"/>
    <col min="12" max="12" width="13.6640625" customWidth="1"/>
    <col min="13" max="13" width="28.88671875" bestFit="1" customWidth="1"/>
    <col min="14" max="14" width="29.5546875" bestFit="1" customWidth="1"/>
    <col min="15" max="15" width="16.21875" bestFit="1" customWidth="1"/>
    <col min="16" max="16" width="27.6640625" bestFit="1" customWidth="1"/>
    <col min="17" max="17" width="28.33203125" bestFit="1" customWidth="1"/>
    <col min="18" max="18" width="29.21875" bestFit="1" customWidth="1"/>
    <col min="19" max="19" width="28.33203125" bestFit="1" customWidth="1"/>
    <col min="20" max="20" width="26.21875" bestFit="1" customWidth="1"/>
    <col min="21" max="21" width="29.88671875" bestFit="1" customWidth="1"/>
    <col min="22" max="22" width="31.88671875" bestFit="1" customWidth="1"/>
    <col min="23" max="23" width="32.109375" bestFit="1" customWidth="1"/>
  </cols>
  <sheetData>
    <row r="1" spans="1:23" x14ac:dyDescent="0.3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67</v>
      </c>
      <c r="L1" t="s">
        <v>24</v>
      </c>
      <c r="M1" t="s">
        <v>47</v>
      </c>
      <c r="N1" s="3" t="s">
        <v>48</v>
      </c>
      <c r="O1" s="3" t="s">
        <v>60</v>
      </c>
      <c r="P1" s="3" t="s">
        <v>29</v>
      </c>
      <c r="Q1" s="3" t="s">
        <v>34</v>
      </c>
      <c r="R1" s="3"/>
      <c r="S1" s="3"/>
      <c r="T1" s="3"/>
      <c r="U1" s="3"/>
      <c r="V1" s="3"/>
      <c r="W1" s="3"/>
    </row>
    <row r="2" spans="1:23" x14ac:dyDescent="0.3">
      <c r="H2" s="3"/>
      <c r="R2" s="3"/>
      <c r="S2" s="3"/>
      <c r="T2" s="3"/>
      <c r="U2" s="3"/>
      <c r="V2" s="3"/>
      <c r="W2" s="3"/>
    </row>
    <row r="3" spans="1:23" x14ac:dyDescent="0.3">
      <c r="R3" s="3"/>
      <c r="S3" s="3"/>
      <c r="T3" s="3"/>
      <c r="U3" s="3"/>
      <c r="V3" s="3"/>
      <c r="W3" s="3"/>
    </row>
    <row r="4" spans="1:23" x14ac:dyDescent="0.3">
      <c r="R4" s="3"/>
      <c r="S4" s="3"/>
      <c r="T4" s="3"/>
      <c r="U4" s="3"/>
      <c r="V4" s="3"/>
      <c r="W4" s="3"/>
    </row>
    <row r="5" spans="1:23" x14ac:dyDescent="0.3">
      <c r="R5" s="3"/>
      <c r="S5" s="3"/>
      <c r="T5" s="3"/>
      <c r="U5" s="3"/>
      <c r="V5" s="3"/>
      <c r="W5" s="3"/>
    </row>
    <row r="6" spans="1:23" x14ac:dyDescent="0.3">
      <c r="R6" s="3"/>
      <c r="S6" s="3"/>
      <c r="T6" s="3"/>
      <c r="U6" s="3"/>
      <c r="V6" s="3"/>
      <c r="W6" s="3"/>
    </row>
    <row r="7" spans="1:23" x14ac:dyDescent="0.3">
      <c r="R7" s="3"/>
      <c r="S7" s="3"/>
      <c r="T7" s="3"/>
      <c r="U7" s="3"/>
      <c r="V7" s="3"/>
      <c r="W7" s="3"/>
    </row>
    <row r="8" spans="1:23" x14ac:dyDescent="0.3">
      <c r="R8" s="3"/>
      <c r="S8" s="3"/>
      <c r="T8" s="3"/>
      <c r="U8" s="3"/>
      <c r="V8" s="3"/>
      <c r="W8" s="3"/>
    </row>
    <row r="9" spans="1:23" x14ac:dyDescent="0.3">
      <c r="R9" s="3"/>
      <c r="S9" s="3"/>
      <c r="T9" s="3"/>
      <c r="U9" s="3"/>
      <c r="V9" s="3"/>
      <c r="W9" s="3"/>
    </row>
    <row r="10" spans="1:23" x14ac:dyDescent="0.3">
      <c r="R10" s="3"/>
      <c r="S10" s="3"/>
      <c r="T10" s="3"/>
      <c r="U10" s="3"/>
      <c r="V10" s="3"/>
      <c r="W10" s="3"/>
    </row>
    <row r="11" spans="1:23" x14ac:dyDescent="0.3">
      <c r="R11" s="3"/>
      <c r="S11" s="3"/>
      <c r="T11" s="3"/>
      <c r="U11" s="3"/>
      <c r="V11" s="3"/>
      <c r="W11" s="3"/>
    </row>
    <row r="12" spans="1:23" x14ac:dyDescent="0.3">
      <c r="R12" s="3"/>
      <c r="S12" s="3"/>
      <c r="T12" s="3"/>
      <c r="U12" s="3"/>
      <c r="V12" s="3"/>
      <c r="W12" s="3"/>
    </row>
    <row r="13" spans="1:23" x14ac:dyDescent="0.3">
      <c r="R13" s="3"/>
      <c r="S13" s="3"/>
      <c r="T13" s="3"/>
      <c r="U13" s="3"/>
      <c r="V13" s="3"/>
      <c r="W13" s="3"/>
    </row>
    <row r="17" spans="2:23" x14ac:dyDescent="0.3">
      <c r="B17" s="5"/>
      <c r="N17" s="3"/>
      <c r="O17" s="3"/>
      <c r="P17" s="3"/>
      <c r="Q17" s="3"/>
    </row>
    <row r="18" spans="2:23" x14ac:dyDescent="0.3">
      <c r="B18" s="5"/>
    </row>
    <row r="19" spans="2:23" x14ac:dyDescent="0.3">
      <c r="B19" s="5"/>
    </row>
    <row r="20" spans="2:23" x14ac:dyDescent="0.3">
      <c r="B20" s="5"/>
    </row>
    <row r="21" spans="2:23" x14ac:dyDescent="0.3">
      <c r="B21" s="5"/>
    </row>
    <row r="22" spans="2:23" x14ac:dyDescent="0.3">
      <c r="B22" s="5"/>
    </row>
    <row r="23" spans="2:23" x14ac:dyDescent="0.3">
      <c r="B23" s="5"/>
    </row>
    <row r="24" spans="2:23" x14ac:dyDescent="0.3">
      <c r="B24" s="5"/>
    </row>
    <row r="25" spans="2:23" x14ac:dyDescent="0.3">
      <c r="B25" s="5"/>
    </row>
    <row r="26" spans="2:23" x14ac:dyDescent="0.3">
      <c r="B26" s="5"/>
    </row>
    <row r="27" spans="2:23" x14ac:dyDescent="0.3">
      <c r="B27" s="5"/>
    </row>
    <row r="28" spans="2:23" x14ac:dyDescent="0.3">
      <c r="B28" s="5"/>
    </row>
    <row r="29" spans="2:23" x14ac:dyDescent="0.3">
      <c r="B29" s="5"/>
    </row>
    <row r="30" spans="2:23" x14ac:dyDescent="0.3">
      <c r="B30" s="5"/>
    </row>
    <row r="31" spans="2:23" x14ac:dyDescent="0.3">
      <c r="B31" s="5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</row>
    <row r="45" spans="18:23" x14ac:dyDescent="0.3">
      <c r="R45" s="3"/>
      <c r="S45" s="3"/>
      <c r="T45" s="3"/>
      <c r="U45" s="3"/>
      <c r="V45" s="3"/>
      <c r="W45" s="3"/>
    </row>
  </sheetData>
  <phoneticPr fontId="2" type="noConversion"/>
  <conditionalFormatting sqref="L17:Q17 R45:W45 L31:W31 L1:Q2">
    <cfRule type="expression" dxfId="2" priority="3">
      <formula>MOD(ROW(),2)=0</formula>
    </cfRule>
  </conditionalFormatting>
  <conditionalFormatting sqref="H2">
    <cfRule type="expression" dxfId="1" priority="1">
      <formula>H2=400000000000000000000</formula>
    </cfRule>
    <cfRule type="expression" priority="2">
      <formula>H2=400000000000000000000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Аркуші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адмін</cp:lastModifiedBy>
  <cp:lastPrinted>2022-03-22T10:33:10Z</cp:lastPrinted>
  <dcterms:created xsi:type="dcterms:W3CDTF">2020-06-29T21:30:31Z</dcterms:created>
  <dcterms:modified xsi:type="dcterms:W3CDTF">2023-12-16T18:00:15Z</dcterms:modified>
</cp:coreProperties>
</file>